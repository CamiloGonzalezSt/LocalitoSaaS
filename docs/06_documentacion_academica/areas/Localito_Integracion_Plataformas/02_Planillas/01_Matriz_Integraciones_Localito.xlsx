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a25dc2932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3ce6af6674184773"/>
    <x:sheet xmlns:r="http://schemas.openxmlformats.org/officeDocument/2006/relationships" name="01_Matriz_Integraciones" sheetId="2" r:id="R4a276a39e8a145b0"/>
    <x:sheet xmlns:r="http://schemas.openxmlformats.org/officeDocument/2006/relationships" name="02_Catalogo_API" sheetId="3" r:id="R2186b02bd46342b6"/>
    <x:sheet xmlns:r="http://schemas.openxmlformats.org/officeDocument/2006/relationships" name="03_Contratos_Externos" sheetId="4" r:id="Rcaed51ce67a74086"/>
    <x:sheet xmlns:r="http://schemas.openxmlformats.org/officeDocument/2006/relationships" name="04_Errores_Resiliencia" sheetId="5" r:id="Rcdeacbbdeb6644a8"/>
    <x:sheet xmlns:r="http://schemas.openxmlformats.org/officeDocument/2006/relationships" name="05_Pruebas_Integracion" sheetId="6" r:id="R9f8a75bcc1164ad6"/>
    <x:sheet xmlns:r="http://schemas.openxmlformats.org/officeDocument/2006/relationships" name="06_Trazabilidad_Scrum" sheetId="7" r:id="R4ec42727132f42ab"/>
    <x:sheet xmlns:r="http://schemas.openxmlformats.org/officeDocument/2006/relationships" name="07_Brechas_Roadmap" sheetId="8" r:id="R6146f0505ab04563"/>
    <x:sheet xmlns:r="http://schemas.openxmlformats.org/officeDocument/2006/relationships" name="08_Dashboard" sheetId="9" r:id="R8c36048601af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F3D5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cb3b5b2aa425b" /><Relationship Type="http://schemas.openxmlformats.org/officeDocument/2006/relationships/theme" Target="/xl/theme/theme1.xml" Id="Re103752380874732" /><Relationship Type="http://schemas.openxmlformats.org/officeDocument/2006/relationships/sharedStrings" Target="/xl/sharedStrings.xml" Id="Ra6629df0db4044d3" /><Relationship Type="http://schemas.openxmlformats.org/officeDocument/2006/relationships/worksheet" Target="/xl/worksheets/sheet1.xml" Id="R3ce6af6674184773" /><Relationship Type="http://schemas.openxmlformats.org/officeDocument/2006/relationships/worksheet" Target="/xl/worksheets/sheet2.xml" Id="R4a276a39e8a145b0" /><Relationship Type="http://schemas.openxmlformats.org/officeDocument/2006/relationships/worksheet" Target="/xl/worksheets/sheet3.xml" Id="R2186b02bd46342b6" /><Relationship Type="http://schemas.openxmlformats.org/officeDocument/2006/relationships/worksheet" Target="/xl/worksheets/sheet4.xml" Id="Rcaed51ce67a74086" /><Relationship Type="http://schemas.openxmlformats.org/officeDocument/2006/relationships/worksheet" Target="/xl/worksheets/sheet5.xml" Id="Rcdeacbbdeb6644a8" /><Relationship Type="http://schemas.openxmlformats.org/officeDocument/2006/relationships/worksheet" Target="/xl/worksheets/sheet6.xml" Id="R9f8a75bcc1164ad6" /><Relationship Type="http://schemas.openxmlformats.org/officeDocument/2006/relationships/worksheet" Target="/xl/worksheets/sheet7.xml" Id="R4ec42727132f42ab" /><Relationship Type="http://schemas.openxmlformats.org/officeDocument/2006/relationships/worksheet" Target="/xl/worksheets/sheet8.xml" Id="R6146f0505ab04563" /><Relationship Type="http://schemas.openxmlformats.org/officeDocument/2006/relationships/worksheet" Target="/xl/worksheets/sheet9.xml" Id="R8c36048601af4f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33a006136f477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 integraciones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'08_Dashboard'!$D$4:$D$6</c:f>
              <c:strCache>
                <c:ptCount val="0"/>
              </c:strCache>
            </c:strRef>
          </c:cat>
          <c:val>
            <c:numRef>
              <c:f>'08_Dashboard'!$E$4:$E$6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33a006136f477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0f802ac6363548c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4" max="4" width="20" hidden="0" customWidth="1"/>
    <x:col min="5" max="5" width="70" hidden="0" customWidth="1"/>
    <x:col min="6" max="6" width="8" hidden="0" customWidth="1"/>
    <x:col min="7" max="7" width="8" hidden="0" customWidth="1"/>
    <x:col min="8" max="8" width="8" hidden="0" customWidth="1"/>
  </x:cols>
  <x:sheetData>
    <x:row r="1" ht="28" customHeight="1">
      <x:c r="A1" s="4" t="str">
        <x:v>LOCALITO - MODELO DE INTEGRACIÓN DE PLATAFORMAS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Corte técnico</x:v>
      </x:c>
      <x:c r="B3" s="17" t="str">
        <x:v>09-09-2026</x:v>
      </x:c>
      <x:c r="D3" s="21" t="str">
        <x:v>Lectura ejecutiva</x:v>
      </x:c>
      <x:c r="E3" s="21"/>
      <x:c r="F3" s="21"/>
      <x:c r="G3" s="21"/>
      <x:c r="H3" s="21"/>
    </x:row>
    <x:row r="4">
      <x:c r="A4" s="16" t="str">
        <x:v>Estilo principal</x:v>
      </x:c>
      <x:c r="B4" s="17" t="str">
        <x:v>REST/HTTP + JSON entre PWA y API</x:v>
      </x:c>
      <x:c r="D4" s="17" t="str">
        <x:v>Implementado</x:v>
      </x:c>
      <x:c r="E4" s="17" t="str">
        <x:v>PWA → API REST → PostgreSQL con contratos compartidos y aislamiento por negocio.</x:v>
      </x:c>
    </x:row>
    <x:row r="5">
      <x:c r="A5" s="16" t="str">
        <x:v>Persistencia</x:v>
      </x:c>
      <x:c r="B5" s="17" t="str">
        <x:v>PostgreSQL/Supabase mediante pg.Pool</x:v>
      </x:c>
      <x:c r="D5" s="17" t="str">
        <x:v>Implementado</x:v>
      </x:c>
      <x:c r="E5" s="17" t="str">
        <x:v>Integración IA desacoplada por proveedor y respuesta JSON estructurada.</x:v>
      </x:c>
    </x:row>
    <x:row r="6">
      <x:c r="A6" s="16" t="str">
        <x:v>IA visual</x:v>
      </x:c>
      <x:c r="B6" s="17" t="str">
        <x:v>Groq u OpenAI, proveedor configurable</x:v>
      </x:c>
      <x:c r="D6" s="17" t="str">
        <x:v>Implementado</x:v>
      </x:c>
      <x:c r="E6" s="17" t="str">
        <x:v>Correo transaccional con dos alternativas de proveedor.</x:v>
      </x:c>
    </x:row>
    <x:row r="7">
      <x:c r="A7" s="16" t="str">
        <x:v>Correo transaccional</x:v>
      </x:c>
      <x:c r="B7" s="17" t="str">
        <x:v>Resend REST o Gmail SMTP</x:v>
      </x:c>
      <x:c r="D7" s="17" t="str">
        <x:v>Implementado</x:v>
      </x:c>
      <x:c r="E7" s="17" t="str">
        <x:v>Continuidad offline de ventas con reintento e idempotencia.</x:v>
      </x:c>
    </x:row>
    <x:row r="8">
      <x:c r="A8" s="16" t="str">
        <x:v>Offline</x:v>
      </x:c>
      <x:c r="B8" s="17" t="str">
        <x:v>IndexedDB + cola de ventas + idempotencia</x:v>
      </x:c>
      <x:c r="D8" s="17" t="str">
        <x:v>Limitación</x:v>
      </x:c>
      <x:c r="E8" s="17" t="str">
        <x:v>No existe integración real con Webpay/Mercado Pago en la tesis.</x:v>
      </x:c>
    </x:row>
    <x:row r="9">
      <x:c r="A9" s="16" t="str">
        <x:v>WhatsApp</x:v>
      </x:c>
      <x:c r="B9" s="17" t="str">
        <x:v>URL externa generada; sin integración API oficial</x:v>
      </x:c>
      <x:c r="D9" s="17" t="str">
        <x:v>Limitación</x:v>
      </x:c>
      <x:c r="E9" s="17" t="str">
        <x:v>No existe integración tributaria SII/DTE.</x:v>
      </x:c>
    </x:row>
    <x:row r="10">
      <x:c r="A10" s="16" t="str">
        <x:v>Webpay / Mercado Pago</x:v>
      </x:c>
      <x:c r="B10" s="17" t="str">
        <x:v>Manual/simulado en alcance de tesis; no procesa dinero real</x:v>
      </x:c>
      <x:c r="D10" s="17" t="str">
        <x:v>Pendiente</x:v>
      </x:c>
      <x:c r="E10" s="17" t="str">
        <x:v>Validación de integración contra PostgreSQL real, concurrencia, restore y dispositivos físicos.</x:v>
      </x:c>
    </x:row>
    <x:row r="11">
      <x:c r="A11" s="16" t="str">
        <x:v>SII / DTE</x:v>
      </x:c>
      <x:c r="B11" s="17" t="str">
        <x:v>Fuera de alcance actual</x:v>
      </x:c>
      <x:c r="D11" s="17" t="str">
        <x:v>Criterio</x:v>
      </x:c>
      <x:c r="E11" s="17" t="str">
        <x:v>No inventar integraciones: simulación, enlace externo y API real se documentan por separado.</x:v>
      </x:c>
    </x:row>
    <x:row r="12">
      <x:c r="A12" s="16" t="str">
        <x:v>Pruebas</x:v>
      </x:c>
      <x:c r="B12" s="17" t="str">
        <x:v>61 pruebas de lógica/tipos/build; suites de navegador previas al rediseño</x:v>
      </x:c>
    </x:row>
    <x:row r="13">
      <x:c r="A13" s="16" t="str">
        <x:v>Enfoque del ramo</x:v>
      </x:c>
      <x:c r="B13" s="17" t="str">
        <x:v>Componentes, capas, webservices, interoperabilidad, documentación y pruebas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4" hidden="0" customWidth="1"/>
    <x:col min="4" max="4" width="20" hidden="0" customWidth="1"/>
    <x:col min="5" max="5" width="24" hidden="0" customWidth="1"/>
    <x:col min="6" max="6" width="22" hidden="0" customWidth="1"/>
    <x:col min="7" max="7" width="42" hidden="0" customWidth="1"/>
    <x:col min="8" max="8" width="42" hidden="0" customWidth="1"/>
    <x:col min="9" max="9" width="16" hidden="0" customWidth="1"/>
    <x:col min="10" max="10" width="24" hidden="0" customWidth="1"/>
    <x:col min="11" max="11" width="34" hidden="0" customWidth="1"/>
    <x:col min="12" max="12" width="24" hidden="0" customWidth="1"/>
    <x:col min="13" max="13" width="34" hidden="0" customWidth="1"/>
    <x:col min="14" max="14" width="46" hidden="0" customWidth="1"/>
  </x:cols>
  <x:sheetData>
    <x:row r="1" ht="28" customHeight="1">
      <x:c r="A1" s="4" t="str">
        <x:v>MATRIZ DE INTEGRACIONES - LOCALITO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1" t="str">
        <x:v>ID</x:v>
      </x:c>
      <x:c r="B3" s="11" t="str">
        <x:v>Origen</x:v>
      </x:c>
      <x:c r="C3" s="11" t="str">
        <x:v>Destino</x:v>
      </x:c>
      <x:c r="D3" s="11" t="str">
        <x:v>Tipo</x:v>
      </x:c>
      <x:c r="E3" s="11" t="str">
        <x:v>Protocolo</x:v>
      </x:c>
      <x:c r="F3" s="11" t="str">
        <x:v>Formato</x:v>
      </x:c>
      <x:c r="G3" s="11" t="str">
        <x:v>Autenticación / seguridad</x:v>
      </x:c>
      <x:c r="H3" s="11" t="str">
        <x:v>Propósito</x:v>
      </x:c>
      <x:c r="I3" s="11" t="str">
        <x:v>Dirección</x:v>
      </x:c>
      <x:c r="J3" s="11" t="str">
        <x:v>Timeout / límite</x:v>
      </x:c>
      <x:c r="K3" s="11" t="str">
        <x:v>Fallback</x:v>
      </x:c>
      <x:c r="L3" s="11" t="str">
        <x:v>Estado</x:v>
      </x:c>
      <x:c r="M3" s="11" t="str">
        <x:v>Evidencia</x:v>
      </x:c>
      <x:c r="N3" s="11" t="str">
        <x:v>Observación</x:v>
      </x:c>
    </x:row>
    <x:row r="4">
      <x:c r="A4" s="17" t="str">
        <x:v>INT-01</x:v>
      </x:c>
      <x:c r="B4" s="17" t="str">
        <x:v>PWA React/Vite</x:v>
      </x:c>
      <x:c r="C4" s="17" t="str">
        <x:v>API Express</x:v>
      </x:c>
      <x:c r="D4" s="17" t="str">
        <x:v>Interna</x:v>
      </x:c>
      <x:c r="E4" s="17" t="str">
        <x:v>HTTPS/HTTP REST</x:v>
      </x:c>
      <x:c r="F4" s="17" t="str">
        <x:v>JSON</x:v>
      </x:c>
      <x:c r="G4" s="17" t="str">
        <x:v>Bearer token; CORS; roles/tenant</x:v>
      </x:c>
      <x:c r="H4" s="17" t="str">
        <x:v>Operaciones de negocio</x:v>
      </x:c>
      <x:c r="I4" s="17" t="str">
        <x:v>Bidireccional</x:v>
      </x:c>
      <x:c r="J4" s="17" t="str">
        <x:v>Según request</x:v>
      </x:c>
      <x:c r="K4" s="17" t="str">
        <x:v>Mensajes + offline en ventas</x:v>
      </x:c>
      <x:c r="L4" s="17" t="str">
        <x:v>Implementado</x:v>
      </x:c>
      <x:c r="M4" s="17" t="str">
        <x:v>server.ts + frontend</x:v>
      </x:c>
      <x:c r="N4" s="17" t="str">
        <x:v>Interfaz principal de integración.</x:v>
      </x:c>
    </x:row>
    <x:row r="5">
      <x:c r="A5" s="17" t="str">
        <x:v>INT-02</x:v>
      </x:c>
      <x:c r="B5" s="17" t="str">
        <x:v>API Express</x:v>
      </x:c>
      <x:c r="C5" s="17" t="str">
        <x:v>PostgreSQL/Supabase</x:v>
      </x:c>
      <x:c r="D5" s="17" t="str">
        <x:v>Datos</x:v>
      </x:c>
      <x:c r="E5" s="17" t="str">
        <x:v>PostgreSQL wire / TLS</x:v>
      </x:c>
      <x:c r="F5" s="17" t="str">
        <x:v>SQL / filas</x:v>
      </x:c>
      <x:c r="G5" s="17" t="str">
        <x:v>DB URL server-side; RLS; roles Data API revocados</x:v>
      </x:c>
      <x:c r="H5" s="17" t="str">
        <x:v>Persistencia multi-tenant</x:v>
      </x:c>
      <x:c r="I5" s="17" t="str">
        <x:v>Bidireccional</x:v>
      </x:c>
      <x:c r="J5" s="17" t="str">
        <x:v>10s conexión; pool</x:v>
      </x:c>
      <x:c r="K5" s="17" t="str">
        <x:v>MemoryRepository solo no-prod</x:v>
      </x:c>
      <x:c r="L5" s="17" t="str">
        <x:v>Implementado / validar real</x:v>
      </x:c>
      <x:c r="M5" s="17" t="str">
        <x:v>repository.ts + schema.sql</x:v>
      </x:c>
      <x:c r="N5" s="17" t="str">
        <x:v>PostgreSQL obligatorio en producción.</x:v>
      </x:c>
    </x:row>
    <x:row r="6">
      <x:c r="A6" s="17" t="str">
        <x:v>INT-03</x:v>
      </x:c>
      <x:c r="B6" s="17" t="str">
        <x:v>API Express</x:v>
      </x:c>
      <x:c r="C6" s="17" t="str">
        <x:v>Groq</x:v>
      </x:c>
      <x:c r="D6" s="17" t="str">
        <x:v>Externa IA</x:v>
      </x:c>
      <x:c r="E6" s="17" t="str">
        <x:v>HTTPS REST</x:v>
      </x:c>
      <x:c r="F6" s="17" t="str">
        <x:v>JSON + imagen Data URL</x:v>
      </x:c>
      <x:c r="G6" s="17" t="str">
        <x:v>Bearer API key server-side</x:v>
      </x:c>
      <x:c r="H6" s="17" t="str">
        <x:v>Visión para Venta Rápida/factura/producto</x:v>
      </x:c>
      <x:c r="I6" s="17" t="str">
        <x:v>Solicitud/respuesta</x:v>
      </x:c>
      <x:c r="J6" s="17" t="str">
        <x:v>45-60s; rate limits Localito</x:v>
      </x:c>
      <x:c r="K6" s="17" t="str">
        <x:v>Proveedor OpenAI o flujo manual</x:v>
      </x:c>
      <x:c r="L6" s="17" t="str">
        <x:v>Implementado configurable</x:v>
      </x:c>
      <x:c r="M6" s="17" t="str">
        <x:v>visionProvider.ts + vision.ts</x:v>
      </x:c>
      <x:c r="N6" s="17" t="str">
        <x:v>No fuente de verdad; requiere revisión humana.</x:v>
      </x:c>
    </x:row>
    <x:row r="7">
      <x:c r="A7" s="17" t="str">
        <x:v>INT-04</x:v>
      </x:c>
      <x:c r="B7" s="17" t="str">
        <x:v>API Express</x:v>
      </x:c>
      <x:c r="C7" s="17" t="str">
        <x:v>OpenAI</x:v>
      </x:c>
      <x:c r="D7" s="17" t="str">
        <x:v>Externa IA</x:v>
      </x:c>
      <x:c r="E7" s="17" t="str">
        <x:v>HTTPS REST</x:v>
      </x:c>
      <x:c r="F7" s="17" t="str">
        <x:v>JSON Schema + imagen Data URL</x:v>
      </x:c>
      <x:c r="G7" s="17" t="str">
        <x:v>Bearer API key server-side</x:v>
      </x:c>
      <x:c r="H7" s="17" t="str">
        <x:v>Proveedor alternativo de visión</x:v>
      </x:c>
      <x:c r="I7" s="17" t="str">
        <x:v>Solicitud/respuesta</x:v>
      </x:c>
      <x:c r="J7" s="17" t="str">
        <x:v>45-60s</x:v>
      </x:c>
      <x:c r="K7" s="17" t="str">
        <x:v>Groq o flujo manual</x:v>
      </x:c>
      <x:c r="L7" s="17" t="str">
        <x:v>Implementado configurable</x:v>
      </x:c>
      <x:c r="M7" s="17" t="str">
        <x:v>visionProvider.ts + vision.ts</x:v>
      </x:c>
      <x:c r="N7" s="17" t="str">
        <x:v>Selección por VISION_PROVIDER/keys.</x:v>
      </x:c>
    </x:row>
    <x:row r="8">
      <x:c r="A8" s="17" t="str">
        <x:v>INT-05</x:v>
      </x:c>
      <x:c r="B8" s="17" t="str">
        <x:v>API Express</x:v>
      </x:c>
      <x:c r="C8" s="17" t="str">
        <x:v>Resend</x:v>
      </x:c>
      <x:c r="D8" s="17" t="str">
        <x:v>Externa correo</x:v>
      </x:c>
      <x:c r="E8" s="17" t="str">
        <x:v>HTTPS REST</x:v>
      </x:c>
      <x:c r="F8" s="17" t="str">
        <x:v>JSON</x:v>
      </x:c>
      <x:c r="G8" s="17" t="str">
        <x:v>Bearer API key + Idempotency-Key</x:v>
      </x:c>
      <x:c r="H8" s="17" t="str">
        <x:v>Reset de contraseña</x:v>
      </x:c>
      <x:c r="I8" s="17" t="str">
        <x:v>Solicitud/salida</x:v>
      </x:c>
      <x:c r="J8" s="17" t="str">
        <x:v>10s</x:v>
      </x:c>
      <x:c r="K8" s="17" t="str">
        <x:v>Gmail SMTP</x:v>
      </x:c>
      <x:c r="L8" s="17" t="str">
        <x:v>Implementado configurable</x:v>
      </x:c>
      <x:c r="M8" s="17" t="str">
        <x:v>email.ts</x:v>
      </x:c>
      <x:c r="N8" s="17" t="str">
        <x:v>No expone API key al cliente.</x:v>
      </x:c>
    </x:row>
    <x:row r="9">
      <x:c r="A9" s="17" t="str">
        <x:v>INT-06</x:v>
      </x:c>
      <x:c r="B9" s="17" t="str">
        <x:v>API Express</x:v>
      </x:c>
      <x:c r="C9" s="17" t="str">
        <x:v>Gmail SMTP</x:v>
      </x:c>
      <x:c r="D9" s="17" t="str">
        <x:v>Externa correo</x:v>
      </x:c>
      <x:c r="E9" s="17" t="str">
        <x:v>SMTP TLS 465</x:v>
      </x:c>
      <x:c r="F9" s="17" t="str">
        <x:v>MIME email</x:v>
      </x:c>
      <x:c r="G9" s="17" t="str">
        <x:v>Usuario + App Password server-side</x:v>
      </x:c>
      <x:c r="H9" s="17" t="str">
        <x:v>Reset de contraseña</x:v>
      </x:c>
      <x:c r="I9" s="17" t="str">
        <x:v>Salida</x:v>
      </x:c>
      <x:c r="J9" s="17" t="str">
        <x:v>10-15s</x:v>
      </x:c>
      <x:c r="K9" s="17" t="str">
        <x:v>Resend</x:v>
      </x:c>
      <x:c r="L9" s="17" t="str">
        <x:v>Implementado configurable</x:v>
      </x:c>
      <x:c r="M9" s="17" t="str">
        <x:v>email.ts</x:v>
      </x:c>
      <x:c r="N9" s="17" t="str">
        <x:v>disableFileAccess/disableUrlAccess.</x:v>
      </x:c>
    </x:row>
    <x:row r="10">
      <x:c r="A10" s="17" t="str">
        <x:v>INT-07</x:v>
      </x:c>
      <x:c r="B10" s="17" t="str">
        <x:v>PWA</x:v>
      </x:c>
      <x:c r="C10" s="17" t="str">
        <x:v>IndexedDB</x:v>
      </x:c>
      <x:c r="D10" s="17" t="str">
        <x:v>Local</x:v>
      </x:c>
      <x:c r="E10" s="17" t="str">
        <x:v>Browser API</x:v>
      </x:c>
      <x:c r="F10" s="17" t="str">
        <x:v>Objetos JSON</x:v>
      </x:c>
      <x:c r="G10" s="17" t="str">
        <x:v>Aislado por origen/cuenta</x:v>
      </x:c>
      <x:c r="H10" s="17" t="str">
        <x:v>Cola offline, catálogo y continuidad</x:v>
      </x:c>
      <x:c r="I10" s="17" t="str">
        <x:v>Bidireccional</x:v>
      </x:c>
      <x:c r="J10" s="17" t="str">
        <x:v>Local</x:v>
      </x:c>
      <x:c r="K10" s="17" t="str">
        <x:v>Respaldo JSON diagnóstico</x:v>
      </x:c>
      <x:c r="L10" s="17" t="str">
        <x:v>Implementado / validar físico</x:v>
      </x:c>
      <x:c r="M10" s="17" t="str">
        <x:v>Estado-Actual.md</x:v>
      </x:c>
      <x:c r="N10" s="17" t="str">
        <x:v>No reemplaza PostgreSQL ni backup.</x:v>
      </x:c>
    </x:row>
    <x:row r="11">
      <x:c r="A11" s="17" t="str">
        <x:v>INT-08</x:v>
      </x:c>
      <x:c r="B11" s="17" t="str">
        <x:v>Cola offline</x:v>
      </x:c>
      <x:c r="C11" s="17" t="str">
        <x:v>POST /sales</x:v>
      </x:c>
      <x:c r="D11" s="17" t="str">
        <x:v>Sincronización</x:v>
      </x:c>
      <x:c r="E11" s="17" t="str">
        <x:v>REST + Idempotency-Key</x:v>
      </x:c>
      <x:c r="F11" s="17" t="str">
        <x:v>JSON</x:v>
      </x:c>
      <x:c r="G11" s="17" t="str">
        <x:v>Sesión y tenant</x:v>
      </x:c>
      <x:c r="H11" s="17" t="str">
        <x:v>Registrar venta una sola vez al volver conexión</x:v>
      </x:c>
      <x:c r="I11" s="17" t="str">
        <x:v>Salida</x:v>
      </x:c>
      <x:c r="J11" s="17" t="str">
        <x:v>Reintentos controlados</x:v>
      </x:c>
      <x:c r="K11" s="17" t="str">
        <x:v>Revisión manual según status</x:v>
      </x:c>
      <x:c r="L11" s="17" t="str">
        <x:v>Implementado / validar PostgreSQL</x:v>
      </x:c>
      <x:c r="M11" s="17" t="str">
        <x:v>Estado-Actual.md</x:v>
      </x:c>
      <x:c r="N11" s="17" t="str">
        <x:v>400/404/409/413/422 quedan para revisión.</x:v>
      </x:c>
    </x:row>
    <x:row r="12">
      <x:c r="A12" s="17" t="str">
        <x:v>INT-09</x:v>
      </x:c>
      <x:c r="B12" s="17" t="str">
        <x:v>PWA</x:v>
      </x:c>
      <x:c r="C12" s="17" t="str">
        <x:v>WhatsApp</x:v>
      </x:c>
      <x:c r="D12" s="17" t="str">
        <x:v>Externa ligera</x:v>
      </x:c>
      <x:c r="E12" s="17" t="str">
        <x:v>URL wa.me</x:v>
      </x:c>
      <x:c r="F12" s="17" t="str">
        <x:v>Query string</x:v>
      </x:c>
      <x:c r="G12" s="17" t="str">
        <x:v>Sin API key</x:v>
      </x:c>
      <x:c r="H12" s="17" t="str">
        <x:v>Abrir recordatorio editable de fiado</x:v>
      </x:c>
      <x:c r="I12" s="17" t="str">
        <x:v>Salida</x:v>
      </x:c>
      <x:c r="J12" s="17" t="str">
        <x:v>N/A</x:v>
      </x:c>
      <x:c r="K12" s="17" t="str">
        <x:v>Copiar mensaje/manual</x:v>
      </x:c>
      <x:c r="L12" s="17" t="str">
        <x:v>Implementado</x:v>
      </x:c>
      <x:c r="M12" s="17" t="str">
        <x:v>server.ts</x:v>
      </x:c>
      <x:c r="N12" s="17" t="str">
        <x:v>No es integración WhatsApp Business API.</x:v>
      </x:c>
    </x:row>
    <x:row r="13">
      <x:c r="A13" s="17" t="str">
        <x:v>INT-10</x:v>
      </x:c>
      <x:c r="B13" s="17" t="str">
        <x:v>Localito</x:v>
      </x:c>
      <x:c r="C13" s="17" t="str">
        <x:v>Webpay</x:v>
      </x:c>
      <x:c r="D13" s="17" t="str">
        <x:v>Pago académico</x:v>
      </x:c>
      <x:c r="E13" s="17" t="str">
        <x:v>Simulación interna</x:v>
      </x:c>
      <x:c r="F13" s="17" t="str">
        <x:v>JSON local</x:v>
      </x:c>
      <x:c r="G13" s="17" t="str">
        <x:v>Sesión/roles</x:v>
      </x:c>
      <x:c r="H13" s="17" t="str">
        <x:v>Demostrar flujo de pago/plan</x:v>
      </x:c>
      <x:c r="I13" s="17" t="str">
        <x:v>Interna</x:v>
      </x:c>
      <x:c r="J13" s="17" t="str">
        <x:v>N/A</x:v>
      </x:c>
      <x:c r="K13" s="17" t="str">
        <x:v>Manual</x:v>
      </x:c>
      <x:c r="L13" s="17" t="str">
        <x:v>Simulado</x:v>
      </x:c>
      <x:c r="M13" s="17" t="str">
        <x:v>Alcance-Tesis.md + server.ts</x:v>
      </x:c>
      <x:c r="N13" s="17" t="str">
        <x:v>No consulta Transbank ni procesa dinero.</x:v>
      </x:c>
    </x:row>
    <x:row r="14">
      <x:c r="A14" s="17" t="str">
        <x:v>INT-11</x:v>
      </x:c>
      <x:c r="B14" s="17" t="str">
        <x:v>Localito</x:v>
      </x:c>
      <x:c r="C14" s="17" t="str">
        <x:v>Mercado Pago</x:v>
      </x:c>
      <x:c r="D14" s="17" t="str">
        <x:v>Pago académico</x:v>
      </x:c>
      <x:c r="E14" s="17" t="str">
        <x:v>Registro externo/manual</x:v>
      </x:c>
      <x:c r="F14" s="17" t="str">
        <x:v>Dato de medio</x:v>
      </x:c>
      <x:c r="G14" s="17" t="str">
        <x:v>Sesión/roles</x:v>
      </x:c>
      <x:c r="H14" s="17" t="str">
        <x:v>Registrar medio externo/plan demo</x:v>
      </x:c>
      <x:c r="I14" s="17" t="str">
        <x:v>Interna/manual</x:v>
      </x:c>
      <x:c r="J14" s="17" t="str">
        <x:v>N/A</x:v>
      </x:c>
      <x:c r="K14" s="17" t="str">
        <x:v>Manual</x:v>
      </x:c>
      <x:c r="L14" s="17" t="str">
        <x:v>Simulado/manual</x:v>
      </x:c>
      <x:c r="M14" s="17" t="str">
        <x:v>Alcance-Tesis.md</x:v>
      </x:c>
      <x:c r="N14" s="17" t="str">
        <x:v>No genera QR ni usa API.</x:v>
      </x:c>
    </x:row>
    <x:row r="15">
      <x:c r="A15" s="17" t="str">
        <x:v>INT-12</x:v>
      </x:c>
      <x:c r="B15" s="17" t="str">
        <x:v>Localito</x:v>
      </x:c>
      <x:c r="C15" s="17" t="str">
        <x:v>SII/DTE</x:v>
      </x:c>
      <x:c r="D15" s="17" t="str">
        <x:v>Tributaria</x:v>
      </x:c>
      <x:c r="E15" s="17" t="str">
        <x:v>No implementada</x:v>
      </x:c>
      <x:c r="F15" s="17" t="str">
        <x:v>N/A</x:v>
      </x:c>
      <x:c r="G15" s="17" t="str">
        <x:v>N/A</x:v>
      </x:c>
      <x:c r="H15" s="17" t="str">
        <x:v>Boleta/factura electrónica</x:v>
      </x:c>
      <x:c r="I15" s="17" t="str">
        <x:v>N/A</x:v>
      </x:c>
      <x:c r="J15" s="17" t="str">
        <x:v>N/A</x:v>
      </x:c>
      <x:c r="K15" s="17" t="str">
        <x:v>Ticket interno no tributario</x:v>
      </x:c>
      <x:c r="L15" s="17" t="str">
        <x:v>Fuera de alcance</x:v>
      </x:c>
      <x:c r="M15" s="17" t="str">
        <x:v>Alcance-Tesis.md</x:v>
      </x:c>
      <x:c r="N15" s="17" t="str">
        <x:v>Roadmap comercial.</x:v>
      </x:c>
    </x:row>
  </x:sheetData>
  <x:mergeCells>
    <x:mergeCell ref="A1:N1"/>
  </x:mergeCells>
  <x:conditionalFormatting sqref="L4:L15">
    <x:cfRule type="expression" dxfId="0" priority="1">
      <x:formula>LEFT(L4,11)="Implementado"</x:formula>
    </x:cfRule>
    <x:cfRule type="expression" dxfId="1" priority="2">
      <x:formula>OR(LEFT(L4,8)="Simulado",LEFT(L4,7)="Parcial")</x:formula>
    </x:cfRule>
    <x:cfRule type="expression" dxfId="2" priority="3">
      <x:formula>LEFT(L4,5)="Fuera"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6" hidden="0" customWidth="1"/>
    <x:col min="4" max="4" width="20" hidden="0" customWidth="1"/>
    <x:col min="5" max="5" width="42" hidden="0" customWidth="1"/>
    <x:col min="6" max="6" width="38" hidden="0" customWidth="1"/>
    <x:col min="7" max="7" width="28" hidden="0" customWidth="1"/>
    <x:col min="8" max="8" width="22" hidden="0" customWidth="1"/>
    <x:col min="9" max="9" width="20" hidden="0" customWidth="1"/>
    <x:col min="10" max="10" width="28" hidden="0" customWidth="1"/>
    <x:col min="11" max="11" width="24" hidden="0" customWidth="1"/>
    <x:col min="12" max="12" width="42" hidden="0" customWidth="1"/>
  </x:cols>
  <x:sheetData>
    <x:row r="1" ht="28" customHeight="1">
      <x:c r="A1" s="4" t="str">
        <x:v>CATÁLOGO REPRESENTATIVO DE API REST - LOCALITO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1" t="str">
        <x:v>Grupo</x:v>
      </x:c>
      <x:c r="B3" s="11" t="str">
        <x:v>Método</x:v>
      </x:c>
      <x:c r="C3" s="11" t="str">
        <x:v>Ruta</x:v>
      </x:c>
      <x:c r="D3" s="11" t="str">
        <x:v>Rol</x:v>
      </x:c>
      <x:c r="E3" s="11" t="str">
        <x:v>Entrada clave</x:v>
      </x:c>
      <x:c r="F3" s="11" t="str">
        <x:v>Salida</x:v>
      </x:c>
      <x:c r="G3" s="11" t="str">
        <x:v>Códigos relevantes</x:v>
      </x:c>
      <x:c r="H3" s="11" t="str">
        <x:v>Idempotencia</x:v>
      </x:c>
      <x:c r="I3" s="11" t="str">
        <x:v>Persistencia</x:v>
      </x:c>
      <x:c r="J3" s="11" t="str">
        <x:v>Integración externa</x:v>
      </x:c>
      <x:c r="K3" s="11" t="str">
        <x:v>Estado</x:v>
      </x:c>
      <x:c r="L3" s="11" t="str">
        <x:v>Nota</x:v>
      </x:c>
    </x:row>
    <x:row r="4">
      <x:c r="A4" s="17" t="str">
        <x:v>Sistema</x:v>
      </x:c>
      <x:c r="B4" s="17" t="str">
        <x:v>GET</x:v>
      </x:c>
      <x:c r="C4" s="17" t="str">
        <x:v>/health</x:v>
      </x:c>
      <x:c r="D4" s="17" t="str">
        <x:v>Público</x:v>
      </x:c>
      <x:c r="E4" s="17" t="str">
        <x:v>-</x:v>
      </x:c>
      <x:c r="F4" s="17" t="str">
        <x:v>storage + estado integraciones</x:v>
      </x:c>
      <x:c r="G4" s="17" t="str">
        <x:v>200</x:v>
      </x:c>
      <x:c r="H4" s="17" t="str">
        <x:v>No</x:v>
      </x:c>
      <x:c r="I4" s="17" t="str">
        <x:v>Lectura config</x:v>
      </x:c>
      <x:c r="J4" s="17" t="str">
        <x:v>Detecta IA/correo</x:v>
      </x:c>
      <x:c r="K4" s="17" t="str">
        <x:v>Implementado</x:v>
      </x:c>
      <x:c r="L4" s="17" t="str">
        <x:v>No revela secretos.</x:v>
      </x:c>
    </x:row>
    <x:row r="5">
      <x:c r="A5" s="17" t="str">
        <x:v>Auth</x:v>
      </x:c>
      <x:c r="B5" s="17" t="str">
        <x:v>POST</x:v>
      </x:c>
      <x:c r="C5" s="17" t="str">
        <x:v>/auth/register</x:v>
      </x:c>
      <x:c r="D5" s="17" t="str">
        <x:v>Público</x:v>
      </x:c>
      <x:c r="E5" s="17" t="str">
        <x:v>businessName, ownerName, email, password</x:v>
      </x:c>
      <x:c r="F5" s="17" t="str">
        <x:v>tenant + user + token</x:v>
      </x:c>
      <x:c r="G5" s="17" t="str">
        <x:v>201/400/429</x:v>
      </x:c>
      <x:c r="H5" s="17" t="str">
        <x:v>No</x:v>
      </x:c>
      <x:c r="I5" s="17" t="str">
        <x:v>Sí</x:v>
      </x:c>
      <x:c r="J5" s="17" t="str">
        <x:v>No</x:v>
      </x:c>
      <x:c r="K5" s="17" t="str">
        <x:v>Implementado</x:v>
      </x:c>
      <x:c r="L5" s="17" t="str">
        <x:v>Crea trial/negocio.</x:v>
      </x:c>
    </x:row>
    <x:row r="6">
      <x:c r="A6" s="17" t="str">
        <x:v>Auth</x:v>
      </x:c>
      <x:c r="B6" s="17" t="str">
        <x:v>POST</x:v>
      </x:c>
      <x:c r="C6" s="17" t="str">
        <x:v>/auth/login</x:v>
      </x:c>
      <x:c r="D6" s="17" t="str">
        <x:v>Público</x:v>
      </x:c>
      <x:c r="E6" s="17" t="str">
        <x:v>email, password</x:v>
      </x:c>
      <x:c r="F6" s="17" t="str">
        <x:v>user + tenant + token</x:v>
      </x:c>
      <x:c r="G6" s="17" t="str">
        <x:v>200/400/401/429</x:v>
      </x:c>
      <x:c r="H6" s="17" t="str">
        <x:v>No</x:v>
      </x:c>
      <x:c r="I6" s="17" t="str">
        <x:v>Sesión</x:v>
      </x:c>
      <x:c r="J6" s="17" t="str">
        <x:v>No</x:v>
      </x:c>
      <x:c r="K6" s="17" t="str">
        <x:v>Implementado</x:v>
      </x:c>
      <x:c r="L6" s="17" t="str">
        <x:v>Rate limit por IP.</x:v>
      </x:c>
    </x:row>
    <x:row r="7">
      <x:c r="A7" s="17" t="str">
        <x:v>Auth</x:v>
      </x:c>
      <x:c r="B7" s="17" t="str">
        <x:v>POST</x:v>
      </x:c>
      <x:c r="C7" s="17" t="str">
        <x:v>/auth/password-reset/request</x:v>
      </x:c>
      <x:c r="D7" s="17" t="str">
        <x:v>Público</x:v>
      </x:c>
      <x:c r="E7" s="17" t="str">
        <x:v>email</x:v>
      </x:c>
      <x:c r="F7" s="17" t="str">
        <x:v>mensaje genérico</x:v>
      </x:c>
      <x:c r="G7" s="17" t="str">
        <x:v>202/400/429</x:v>
      </x:c>
      <x:c r="H7" s="17" t="str">
        <x:v>Idempotencia correo</x:v>
      </x:c>
      <x:c r="I7" s="17" t="str">
        <x:v>Token reset</x:v>
      </x:c>
      <x:c r="J7" s="17" t="str">
        <x:v>Resend/Gmail</x:v>
      </x:c>
      <x:c r="K7" s="17" t="str">
        <x:v>Implementado</x:v>
      </x:c>
      <x:c r="L7" s="17" t="str">
        <x:v>No enumera cuenta.</x:v>
      </x:c>
    </x:row>
    <x:row r="8">
      <x:c r="A8" s="17" t="str">
        <x:v>Auth</x:v>
      </x:c>
      <x:c r="B8" s="17" t="str">
        <x:v>POST</x:v>
      </x:c>
      <x:c r="C8" s="17" t="str">
        <x:v>/auth/password-reset/confirm</x:v>
      </x:c>
      <x:c r="D8" s="17" t="str">
        <x:v>Público</x:v>
      </x:c>
      <x:c r="E8" s="17" t="str">
        <x:v>token, password</x:v>
      </x:c>
      <x:c r="F8" s="17" t="str">
        <x:v>confirmación</x:v>
      </x:c>
      <x:c r="G8" s="17" t="str">
        <x:v>200/400/429</x:v>
      </x:c>
      <x:c r="H8" s="17" t="str">
        <x:v>Token single-use</x:v>
      </x:c>
      <x:c r="I8" s="17" t="str">
        <x:v>Sí</x:v>
      </x:c>
      <x:c r="J8" s="17" t="str">
        <x:v>No</x:v>
      </x:c>
      <x:c r="K8" s="17" t="str">
        <x:v>Implementado</x:v>
      </x:c>
      <x:c r="L8" s="17" t="str">
        <x:v>Token expirable.</x:v>
      </x:c>
    </x:row>
    <x:row r="9">
      <x:c r="A9" s="17" t="str">
        <x:v>Bootstrap</x:v>
      </x:c>
      <x:c r="B9" s="17" t="str">
        <x:v>GET</x:v>
      </x:c>
      <x:c r="C9" s="17" t="str">
        <x:v>/bootstrap</x:v>
      </x:c>
      <x:c r="D9" s="17" t="str">
        <x:v>owner/seller</x:v>
      </x:c>
      <x:c r="E9" s="17" t="str">
        <x:v>Bearer</x:v>
      </x:c>
      <x:c r="F9" s="17" t="str">
        <x:v>workspace</x:v>
      </x:c>
      <x:c r="G9" s="17" t="str">
        <x:v>200/401/403</x:v>
      </x:c>
      <x:c r="H9" s="17" t="str">
        <x:v>No</x:v>
      </x:c>
      <x:c r="I9" s="17" t="str">
        <x:v>Sí</x:v>
      </x:c>
      <x:c r="J9" s="17" t="str">
        <x:v>No</x:v>
      </x:c>
      <x:c r="K9" s="17" t="str">
        <x:v>Implementado</x:v>
      </x:c>
      <x:c r="L9" s="17" t="str">
        <x:v>Filtra por rol/plan.</x:v>
      </x:c>
    </x:row>
    <x:row r="10">
      <x:c r="A10" s="17" t="str">
        <x:v>Negocio</x:v>
      </x:c>
      <x:c r="B10" s="17" t="str">
        <x:v>PATCH</x:v>
      </x:c>
      <x:c r="C10" s="17" t="str">
        <x:v>/tenant/preferences</x:v>
      </x:c>
      <x:c r="D10" s="17" t="str">
        <x:v>owner</x:v>
      </x:c>
      <x:c r="E10" s="17" t="str">
        <x:v>preferencias</x:v>
      </x:c>
      <x:c r="F10" s="17" t="str">
        <x:v>tenant</x:v>
      </x:c>
      <x:c r="G10" s="17" t="str">
        <x:v>200/400</x:v>
      </x:c>
      <x:c r="H10" s="17" t="str">
        <x:v>No</x:v>
      </x:c>
      <x:c r="I10" s="17" t="str">
        <x:v>JSONB</x:v>
      </x:c>
      <x:c r="J10" s="17" t="str">
        <x:v>No</x:v>
      </x:c>
      <x:c r="K10" s="17" t="str">
        <x:v>Implementado</x:v>
      </x:c>
      <x:c r="L10" s="17" t="str">
        <x:v>Medios/configuración.</x:v>
      </x:c>
    </x:row>
    <x:row r="11">
      <x:c r="A11" s="17" t="str">
        <x:v>Suscripción</x:v>
      </x:c>
      <x:c r="B11" s="17" t="str">
        <x:v>POST</x:v>
      </x:c>
      <x:c r="C11" s="17" t="str">
        <x:v>/subscription/change-plan</x:v>
      </x:c>
      <x:c r="D11" s="17" t="str">
        <x:v>owner</x:v>
      </x:c>
      <x:c r="E11" s="17" t="str">
        <x:v>plan, provider</x:v>
      </x:c>
      <x:c r="F11" s="17" t="str">
        <x:v>subscription</x:v>
      </x:c>
      <x:c r="G11" s="17" t="str">
        <x:v>200/400</x:v>
      </x:c>
      <x:c r="H11" s="17" t="str">
        <x:v>No</x:v>
      </x:c>
      <x:c r="I11" s="17" t="str">
        <x:v>Sí</x:v>
      </x:c>
      <x:c r="J11" s="17" t="str">
        <x:v>Pago sandbox/manual</x:v>
      </x:c>
      <x:c r="K11" s="17" t="str">
        <x:v>Simulado</x:v>
      </x:c>
      <x:c r="L11" s="17" t="str">
        <x:v>No cobra dinero.</x:v>
      </x:c>
    </x:row>
    <x:row r="12">
      <x:c r="A12" s="17" t="str">
        <x:v>Productos</x:v>
      </x:c>
      <x:c r="B12" s="17" t="str">
        <x:v>GET</x:v>
      </x:c>
      <x:c r="C12" s="17" t="str">
        <x:v>/products</x:v>
      </x:c>
      <x:c r="D12" s="17" t="str">
        <x:v>owner/seller</x:v>
      </x:c>
      <x:c r="E12" s="17" t="str">
        <x:v>-</x:v>
      </x:c>
      <x:c r="F12" s="17" t="str">
        <x:v>productos</x:v>
      </x:c>
      <x:c r="G12" s="17" t="str">
        <x:v>200/401/403</x:v>
      </x:c>
      <x:c r="H12" s="17" t="str">
        <x:v>No</x:v>
      </x:c>
      <x:c r="I12" s="17" t="str">
        <x:v>Sí</x:v>
      </x:c>
      <x:c r="J12" s="17" t="str">
        <x:v>No</x:v>
      </x:c>
      <x:c r="K12" s="17" t="str">
        <x:v>Implementado</x:v>
      </x:c>
      <x:c r="L12" s="17" t="str">
        <x:v>Catálogo por tenant.</x:v>
      </x:c>
    </x:row>
    <x:row r="13">
      <x:c r="A13" s="17" t="str">
        <x:v>Productos</x:v>
      </x:c>
      <x:c r="B13" s="17" t="str">
        <x:v>POST</x:v>
      </x:c>
      <x:c r="C13" s="17" t="str">
        <x:v>/products</x:v>
      </x:c>
      <x:c r="D13" s="17" t="str">
        <x:v>owner</x:v>
      </x:c>
      <x:c r="E13" s="17" t="str">
        <x:v>producto</x:v>
      </x:c>
      <x:c r="F13" s="17" t="str">
        <x:v>producto creado</x:v>
      </x:c>
      <x:c r="G13" s="17" t="str">
        <x:v>201/400</x:v>
      </x:c>
      <x:c r="H13" s="17" t="str">
        <x:v>No</x:v>
      </x:c>
      <x:c r="I13" s="17" t="str">
        <x:v>Sí</x:v>
      </x:c>
      <x:c r="J13" s="17" t="str">
        <x:v>No</x:v>
      </x:c>
      <x:c r="K13" s="17" t="str">
        <x:v>Implementado</x:v>
      </x:c>
      <x:c r="L13" s="17" t="str">
        <x:v>Imagen validada.</x:v>
      </x:c>
    </x:row>
    <x:row r="14">
      <x:c r="A14" s="17" t="str">
        <x:v>Productos</x:v>
      </x:c>
      <x:c r="B14" s="17" t="str">
        <x:v>POST</x:v>
      </x:c>
      <x:c r="C14" s="17" t="str">
        <x:v>/products/import</x:v>
      </x:c>
      <x:c r="D14" s="17" t="str">
        <x:v>owner</x:v>
      </x:c>
      <x:c r="E14" s="17" t="str">
        <x:v>lote</x:v>
      </x:c>
      <x:c r="F14" s="17" t="str">
        <x:v>resultado importación</x:v>
      </x:c>
      <x:c r="G14" s="17" t="str">
        <x:v>200/201/400</x:v>
      </x:c>
      <x:c r="H14" s="17" t="str">
        <x:v>Reglas internas</x:v>
      </x:c>
      <x:c r="I14" s="17" t="str">
        <x:v>Sí</x:v>
      </x:c>
      <x:c r="J14" s="17" t="str">
        <x:v>No</x:v>
      </x:c>
      <x:c r="K14" s="17" t="str">
        <x:v>Implementado</x:v>
      </x:c>
      <x:c r="L14" s="17" t="str">
        <x:v>Carga inicial.</x:v>
      </x:c>
    </x:row>
    <x:row r="15">
      <x:c r="A15" s="17" t="str">
        <x:v>Productos</x:v>
      </x:c>
      <x:c r="B15" s="17" t="str">
        <x:v>PATCH</x:v>
      </x:c>
      <x:c r="C15" s="17" t="str">
        <x:v>/products/:id/stock</x:v>
      </x:c>
      <x:c r="D15" s="17" t="str">
        <x:v>owner</x:v>
      </x:c>
      <x:c r="E15" s="17" t="str">
        <x:v>quantity</x:v>
      </x:c>
      <x:c r="F15" s="17" t="str">
        <x:v>producto</x:v>
      </x:c>
      <x:c r="G15" s="17" t="str">
        <x:v>200/400/404</x:v>
      </x:c>
      <x:c r="H15" s="17" t="str">
        <x:v>No</x:v>
      </x:c>
      <x:c r="I15" s="17" t="str">
        <x:v>Sí</x:v>
      </x:c>
      <x:c r="J15" s="17" t="str">
        <x:v>No</x:v>
      </x:c>
      <x:c r="K15" s="17" t="str">
        <x:v>Implementado</x:v>
      </x:c>
      <x:c r="L15" s="17" t="str">
        <x:v>Audita ajuste.</x:v>
      </x:c>
    </x:row>
    <x:row r="16">
      <x:c r="A16" s="17" t="str">
        <x:v>Clientes</x:v>
      </x:c>
      <x:c r="B16" s="17" t="str">
        <x:v>GET</x:v>
      </x:c>
      <x:c r="C16" s="17" t="str">
        <x:v>/customers</x:v>
      </x:c>
      <x:c r="D16" s="17" t="str">
        <x:v>owner/seller</x:v>
      </x:c>
      <x:c r="E16" s="17" t="str">
        <x:v>-</x:v>
      </x:c>
      <x:c r="F16" s="17" t="str">
        <x:v>clientes</x:v>
      </x:c>
      <x:c r="G16" s="17" t="str">
        <x:v>200</x:v>
      </x:c>
      <x:c r="H16" s="17" t="str">
        <x:v>No</x:v>
      </x:c>
      <x:c r="I16" s="17" t="str">
        <x:v>Sí</x:v>
      </x:c>
      <x:c r="J16" s="17" t="str">
        <x:v>No</x:v>
      </x:c>
      <x:c r="K16" s="17" t="str">
        <x:v>Implementado</x:v>
      </x:c>
      <x:c r="L16" s="17" t="str">
        <x:v>Tenant aislado.</x:v>
      </x:c>
    </x:row>
    <x:row r="17">
      <x:c r="A17" s="17" t="str">
        <x:v>Ventas</x:v>
      </x:c>
      <x:c r="B17" s="17" t="str">
        <x:v>POST</x:v>
      </x:c>
      <x:c r="C17" s="17" t="str">
        <x:v>/sales</x:v>
      </x:c>
      <x:c r="D17" s="17" t="str">
        <x:v>owner/seller</x:v>
      </x:c>
      <x:c r="E17" s="17" t="str">
        <x:v>items, paymentMethod, pagos, discount</x:v>
      </x:c>
      <x:c r="F17" s="17" t="str">
        <x:v>venta</x:v>
      </x:c>
      <x:c r="G17" s="17" t="str">
        <x:v>201/4xx</x:v>
      </x:c>
      <x:c r="H17" s="17" t="str">
        <x:v>Sí: Idempotency-Key</x:v>
      </x:c>
      <x:c r="I17" s="17" t="str">
        <x:v>Sí</x:v>
      </x:c>
      <x:c r="J17" s="17" t="str">
        <x:v>No</x:v>
      </x:c>
      <x:c r="K17" s="17" t="str">
        <x:v>Implementado</x:v>
      </x:c>
      <x:c r="L17" s="17" t="str">
        <x:v>Base de sincronización offline.</x:v>
      </x:c>
    </x:row>
    <x:row r="18">
      <x:c r="A18" s="17" t="str">
        <x:v>Ventas</x:v>
      </x:c>
      <x:c r="B18" s="17" t="str">
        <x:v>POST</x:v>
      </x:c>
      <x:c r="C18" s="17" t="str">
        <x:v>/sales/:id/returns</x:v>
      </x:c>
      <x:c r="D18" s="17" t="str">
        <x:v>owner</x:v>
      </x:c>
      <x:c r="E18" s="17" t="str">
        <x:v>items, reason</x:v>
      </x:c>
      <x:c r="F18" s="17" t="str">
        <x:v>devolución</x:v>
      </x:c>
      <x:c r="G18" s="17" t="str">
        <x:v>201/400/404</x:v>
      </x:c>
      <x:c r="H18" s="17" t="str">
        <x:v>Reglas transaccionales</x:v>
      </x:c>
      <x:c r="I18" s="17" t="str">
        <x:v>Sí</x:v>
      </x:c>
      <x:c r="J18" s="17" t="str">
        <x:v>No</x:v>
      </x:c>
      <x:c r="K18" s="17" t="str">
        <x:v>Implementado</x:v>
      </x:c>
      <x:c r="L18" s="17" t="str">
        <x:v>Reversa controlada.</x:v>
      </x:c>
    </x:row>
    <x:row r="19">
      <x:c r="A19" s="17" t="str">
        <x:v>Fiado</x:v>
      </x:c>
      <x:c r="B19" s="17" t="str">
        <x:v>POST</x:v>
      </x:c>
      <x:c r="C19" s="17" t="str">
        <x:v>/customers/:id/payments</x:v>
      </x:c>
      <x:c r="D19" s="17" t="str">
        <x:v>owner/seller</x:v>
      </x:c>
      <x:c r="E19" s="17" t="str">
        <x:v>amount, method</x:v>
      </x:c>
      <x:c r="F19" s="17" t="str">
        <x:v>cliente + pago</x:v>
      </x:c>
      <x:c r="G19" s="17" t="str">
        <x:v>200/400/404</x:v>
      </x:c>
      <x:c r="H19" s="17" t="str">
        <x:v>No</x:v>
      </x:c>
      <x:c r="I19" s="17" t="str">
        <x:v>Sí</x:v>
      </x:c>
      <x:c r="J19" s="17" t="str">
        <x:v>No</x:v>
      </x:c>
      <x:c r="K19" s="17" t="str">
        <x:v>Implementado</x:v>
      </x:c>
      <x:c r="L19" s="17" t="str">
        <x:v>Abono.</x:v>
      </x:c>
    </x:row>
    <x:row r="20">
      <x:c r="A20" s="17" t="str">
        <x:v>IA</x:v>
      </x:c>
      <x:c r="B20" s="17" t="str">
        <x:v>POST</x:v>
      </x:c>
      <x:c r="C20" s="17" t="str">
        <x:v>/ai/recognize</x:v>
      </x:c>
      <x:c r="D20" s="17" t="str">
        <x:v>owner/seller</x:v>
      </x:c>
      <x:c r="E20" s="17" t="str">
        <x:v>barcode/hint/imageDataUrl</x:v>
      </x:c>
      <x:c r="F20" s="17" t="str">
        <x:v>reconocimiento</x:v>
      </x:c>
      <x:c r="G20" s="17" t="str">
        <x:v>200/4xx</x:v>
      </x:c>
      <x:c r="H20" s="17" t="str">
        <x:v>No</x:v>
      </x:c>
      <x:c r="I20" s="17" t="str">
        <x:v>Sí</x:v>
      </x:c>
      <x:c r="J20" s="17" t="str">
        <x:v>Groq/OpenAI opcional</x:v>
      </x:c>
      <x:c r="K20" s="17" t="str">
        <x:v>Implementado</x:v>
      </x:c>
      <x:c r="L20" s="17" t="str">
        <x:v>Foto opcional.</x:v>
      </x:c>
    </x:row>
    <x:row r="21">
      <x:c r="A21" s="17" t="str">
        <x:v>IA</x:v>
      </x:c>
      <x:c r="B21" s="17" t="str">
        <x:v>POST</x:v>
      </x:c>
      <x:c r="C21" s="17" t="str">
        <x:v>/ai/quick-sale/analyze</x:v>
      </x:c>
      <x:c r="D21" s="17" t="str">
        <x:v>owner/seller</x:v>
      </x:c>
      <x:c r="E21" s="17" t="str">
        <x:v>imageDataUrl</x:v>
      </x:c>
      <x:c r="F21" s="17" t="str">
        <x:v>items + warnings</x:v>
      </x:c>
      <x:c r="G21" s="17" t="str">
        <x:v>200/400/429/503</x:v>
      </x:c>
      <x:c r="H21" s="17" t="str">
        <x:v>No</x:v>
      </x:c>
      <x:c r="I21" s="17" t="str">
        <x:v>No muta</x:v>
      </x:c>
      <x:c r="J21" s="17" t="str">
        <x:v>Groq/OpenAI</x:v>
      </x:c>
      <x:c r="K21" s="17" t="str">
        <x:v>Implementado configurable</x:v>
      </x:c>
      <x:c r="L21" s="17" t="str">
        <x:v>40 análisis/h por usuario.</x:v>
      </x:c>
    </x:row>
    <x:row r="22">
      <x:c r="A22" s="17" t="str">
        <x:v>IA</x:v>
      </x:c>
      <x:c r="B22" s="17" t="str">
        <x:v>POST</x:v>
      </x:c>
      <x:c r="C22" s="17" t="str">
        <x:v>/ai/invoices/analyze</x:v>
      </x:c>
      <x:c r="D22" s="17" t="str">
        <x:v>owner</x:v>
      </x:c>
      <x:c r="E22" s="17" t="str">
        <x:v>imageDataUrl</x:v>
      </x:c>
      <x:c r="F22" s="17" t="str">
        <x:v>factura estructurada</x:v>
      </x:c>
      <x:c r="G22" s="17" t="str">
        <x:v>200/400/429/503</x:v>
      </x:c>
      <x:c r="H22" s="17" t="str">
        <x:v>No</x:v>
      </x:c>
      <x:c r="I22" s="17" t="str">
        <x:v>No muta</x:v>
      </x:c>
      <x:c r="J22" s="17" t="str">
        <x:v>Groq/OpenAI</x:v>
      </x:c>
      <x:c r="K22" s="17" t="str">
        <x:v>Implementado configurable</x:v>
      </x:c>
      <x:c r="L22" s="17" t="str">
        <x:v>20 lecturas/h.</x:v>
      </x:c>
    </x:row>
    <x:row r="23">
      <x:c r="A23" s="17" t="str">
        <x:v>IA</x:v>
      </x:c>
      <x:c r="B23" s="17" t="str">
        <x:v>POST</x:v>
      </x:c>
      <x:c r="C23" s="17" t="str">
        <x:v>/ai/invoices/import</x:v>
      </x:c>
      <x:c r="D23" s="17" t="str">
        <x:v>owner</x:v>
      </x:c>
      <x:c r="E23" s="17" t="str">
        <x:v>factura revisada</x:v>
      </x:c>
      <x:c r="F23" s="17" t="str">
        <x:v>resultado compra/stock</x:v>
      </x:c>
      <x:c r="G23" s="17" t="str">
        <x:v>200/201/4xx</x:v>
      </x:c>
      <x:c r="H23" s="17" t="str">
        <x:v>Protección importación</x:v>
      </x:c>
      <x:c r="I23" s="17" t="str">
        <x:v>Sí</x:v>
      </x:c>
      <x:c r="J23" s="17" t="str">
        <x:v>No</x:v>
      </x:c>
      <x:c r="K23" s="17" t="str">
        <x:v>Implementado</x:v>
      </x:c>
      <x:c r="L23" s="17" t="str">
        <x:v>Mutación tras revisión.</x:v>
      </x:c>
    </x:row>
    <x:row r="24">
      <x:c r="A24" s="17" t="str">
        <x:v>Pagos</x:v>
      </x:c>
      <x:c r="B24" s="17" t="str">
        <x:v>POST</x:v>
      </x:c>
      <x:c r="C24" s="17" t="str">
        <x:v>/payments/webpay/create</x:v>
      </x:c>
      <x:c r="D24" s="17" t="str">
        <x:v>owner/seller</x:v>
      </x:c>
      <x:c r="E24" s="17" t="str">
        <x:v>amount, saleId/customerId</x:v>
      </x:c>
      <x:c r="F24" s="17" t="str">
        <x:v>payment + redirectUrl demo</x:v>
      </x:c>
      <x:c r="G24" s="17" t="str">
        <x:v>201/400</x:v>
      </x:c>
      <x:c r="H24" s="17" t="str">
        <x:v>No</x:v>
      </x:c>
      <x:c r="I24" s="17" t="str">
        <x:v>Sí</x:v>
      </x:c>
      <x:c r="J24" s="17" t="str">
        <x:v>No Transbank</x:v>
      </x:c>
      <x:c r="K24" s="17" t="str">
        <x:v>Simulado</x:v>
      </x:c>
      <x:c r="L24" s="17" t="str">
        <x:v>Mensaje 'Pago demo'.</x:v>
      </x:c>
    </x:row>
    <x:row r="25">
      <x:c r="A25" s="17" t="str">
        <x:v>Proveedores</x:v>
      </x:c>
      <x:c r="B25" s="17" t="str">
        <x:v>GET</x:v>
      </x:c>
      <x:c r="C25" s="17" t="str">
        <x:v>/suppliers</x:v>
      </x:c>
      <x:c r="D25" s="17" t="str">
        <x:v>owner</x:v>
      </x:c>
      <x:c r="E25" s="17" t="str">
        <x:v>-</x:v>
      </x:c>
      <x:c r="F25" s="17" t="str">
        <x:v>proveedores</x:v>
      </x:c>
      <x:c r="G25" s="17" t="str">
        <x:v>200</x:v>
      </x:c>
      <x:c r="H25" s="17" t="str">
        <x:v>No</x:v>
      </x:c>
      <x:c r="I25" s="17" t="str">
        <x:v>Sí</x:v>
      </x:c>
      <x:c r="J25" s="17" t="str">
        <x:v>No</x:v>
      </x:c>
      <x:c r="K25" s="17" t="str">
        <x:v>Implementado</x:v>
      </x:c>
      <x:c r="L25" s="17" t="str">
        <x:v>-</x:v>
      </x:c>
    </x:row>
    <x:row r="26">
      <x:c r="A26" s="17" t="str">
        <x:v>Compras</x:v>
      </x:c>
      <x:c r="B26" s="17" t="str">
        <x:v>POST</x:v>
      </x:c>
      <x:c r="C26" s="17" t="str">
        <x:v>/purchases</x:v>
      </x:c>
      <x:c r="D26" s="17" t="str">
        <x:v>owner</x:v>
      </x:c>
      <x:c r="E26" s="17" t="str">
        <x:v>supplierId, items</x:v>
      </x:c>
      <x:c r="F26" s="17" t="str">
        <x:v>orden</x:v>
      </x:c>
      <x:c r="G26" s="17" t="str">
        <x:v>201/400</x:v>
      </x:c>
      <x:c r="H26" s="17" t="str">
        <x:v>No</x:v>
      </x:c>
      <x:c r="I26" s="17" t="str">
        <x:v>Sí</x:v>
      </x:c>
      <x:c r="J26" s="17" t="str">
        <x:v>No</x:v>
      </x:c>
      <x:c r="K26" s="17" t="str">
        <x:v>Implementado</x:v>
      </x:c>
      <x:c r="L26" s="17" t="str">
        <x:v>-</x:v>
      </x:c>
    </x:row>
    <x:row r="27">
      <x:c r="A27" s="17" t="str">
        <x:v>Compras</x:v>
      </x:c>
      <x:c r="B27" s="17" t="str">
        <x:v>POST</x:v>
      </x:c>
      <x:c r="C27" s="17" t="str">
        <x:v>/purchases/:id/receive</x:v>
      </x:c>
      <x:c r="D27" s="17" t="str">
        <x:v>owner</x:v>
      </x:c>
      <x:c r="E27" s="17" t="str">
        <x:v>quantities</x:v>
      </x:c>
      <x:c r="F27" s="17" t="str">
        <x:v>orden recibida</x:v>
      </x:c>
      <x:c r="G27" s="17" t="str">
        <x:v>200/404</x:v>
      </x:c>
      <x:c r="H27" s="17" t="str">
        <x:v>Transaccional</x:v>
      </x:c>
      <x:c r="I27" s="17" t="str">
        <x:v>Sí</x:v>
      </x:c>
      <x:c r="J27" s="17" t="str">
        <x:v>No</x:v>
      </x:c>
      <x:c r="K27" s="17" t="str">
        <x:v>Implementado</x:v>
      </x:c>
      <x:c r="L27" s="17" t="str">
        <x:v>Actualiza stock.</x:v>
      </x:c>
    </x:row>
    <x:row r="28">
      <x:c r="A28" s="17" t="str">
        <x:v>Caja</x:v>
      </x:c>
      <x:c r="B28" s="17" t="str">
        <x:v>POST</x:v>
      </x:c>
      <x:c r="C28" s="17" t="str">
        <x:v>/cash/session/open</x:v>
      </x:c>
      <x:c r="D28" s="17" t="str">
        <x:v>owner/seller</x:v>
      </x:c>
      <x:c r="E28" s="17" t="str">
        <x:v>openingAmount</x:v>
      </x:c>
      <x:c r="F28" s="17" t="str">
        <x:v>sesión</x:v>
      </x:c>
      <x:c r="G28" s="17" t="str">
        <x:v>201/400</x:v>
      </x:c>
      <x:c r="H28" s="17" t="str">
        <x:v>No</x:v>
      </x:c>
      <x:c r="I28" s="17" t="str">
        <x:v>Sí</x:v>
      </x:c>
      <x:c r="J28" s="17" t="str">
        <x:v>No</x:v>
      </x:c>
      <x:c r="K28" s="17" t="str">
        <x:v>Implementado</x:v>
      </x:c>
      <x:c r="L28" s="17" t="str">
        <x:v>Una abierta por negocio.</x:v>
      </x:c>
    </x:row>
    <x:row r="29">
      <x:c r="A29" s="17" t="str">
        <x:v>Caja</x:v>
      </x:c>
      <x:c r="B29" s="17" t="str">
        <x:v>GET</x:v>
      </x:c>
      <x:c r="C29" s="17" t="str">
        <x:v>/cash/reconciliation</x:v>
      </x:c>
      <x:c r="D29" s="17" t="str">
        <x:v>owner/seller</x:v>
      </x:c>
      <x:c r="E29" s="17" t="str">
        <x:v>-</x:v>
      </x:c>
      <x:c r="F29" s="17" t="str">
        <x:v>desglose esperado</x:v>
      </x:c>
      <x:c r="G29" s="17" t="str">
        <x:v>200</x:v>
      </x:c>
      <x:c r="H29" s="17" t="str">
        <x:v>No</x:v>
      </x:c>
      <x:c r="I29" s="17" t="str">
        <x:v>Sí</x:v>
      </x:c>
      <x:c r="J29" s="17" t="str">
        <x:v>No</x:v>
      </x:c>
      <x:c r="K29" s="17" t="str">
        <x:v>Implementado</x:v>
      </x:c>
      <x:c r="L29" s="17" t="str">
        <x:v>Cruza ventas, abonos y movimientos.</x:v>
      </x:c>
    </x:row>
    <x:row r="30">
      <x:c r="A30" s="17" t="str">
        <x:v>Auditoría</x:v>
      </x:c>
      <x:c r="B30" s="17" t="str">
        <x:v>GET</x:v>
      </x:c>
      <x:c r="C30" s="17" t="str">
        <x:v>/audit/history</x:v>
      </x:c>
      <x:c r="D30" s="17" t="str">
        <x:v>owner</x:v>
      </x:c>
      <x:c r="E30" s="17" t="str">
        <x:v>search/action/from/to/cursor/limit</x:v>
      </x:c>
      <x:c r="F30" s="17" t="str">
        <x:v>events + nextCursor</x:v>
      </x:c>
      <x:c r="G30" s="17" t="str">
        <x:v>200/400</x:v>
      </x:c>
      <x:c r="H30" s="17" t="str">
        <x:v>Cursor</x:v>
      </x:c>
      <x:c r="I30" s="17" t="str">
        <x:v>Sí</x:v>
      </x:c>
      <x:c r="J30" s="17" t="str">
        <x:v>No</x:v>
      </x:c>
      <x:c r="K30" s="17" t="str">
        <x:v>Implementado</x:v>
      </x:c>
      <x:c r="L30" s="17" t="str">
        <x:v>Paginación estable.</x:v>
      </x:c>
    </x:row>
    <x:row r="31">
      <x:c r="A31" s="17" t="str">
        <x:v>Reportes</x:v>
      </x:c>
      <x:c r="B31" s="17" t="str">
        <x:v>GET</x:v>
      </x:c>
      <x:c r="C31" s="17" t="str">
        <x:v>/reports/summary</x:v>
      </x:c>
      <x:c r="D31" s="17" t="str">
        <x:v>owner</x:v>
      </x:c>
      <x:c r="E31" s="17" t="str">
        <x:v>-</x:v>
      </x:c>
      <x:c r="F31" s="17" t="str">
        <x:v>summary</x:v>
      </x:c>
      <x:c r="G31" s="17" t="str">
        <x:v>200</x:v>
      </x:c>
      <x:c r="H31" s="17" t="str">
        <x:v>No</x:v>
      </x:c>
      <x:c r="I31" s="17" t="str">
        <x:v>Sí</x:v>
      </x:c>
      <x:c r="J31" s="17" t="str">
        <x:v>No</x:v>
      </x:c>
      <x:c r="K31" s="17" t="str">
        <x:v>Implementado</x:v>
      </x:c>
      <x:c r="L31" s="17" t="str">
        <x:v>-</x:v>
      </x:c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8" hidden="0" customWidth="1"/>
    <x:col min="4" max="4" width="28" hidden="0" customWidth="1"/>
    <x:col min="5" max="5" width="26" hidden="0" customWidth="1"/>
    <x:col min="6" max="6" width="12" hidden="0" customWidth="1"/>
    <x:col min="7" max="7" width="36" hidden="0" customWidth="1"/>
    <x:col min="8" max="8" width="44" hidden="0" customWidth="1"/>
    <x:col min="9" max="9" width="24" hidden="0" customWidth="1"/>
    <x:col min="10" max="10" width="38" hidden="0" customWidth="1"/>
    <x:col min="11" max="11" width="34" hidden="0" customWidth="1"/>
    <x:col min="12" max="12" width="30" hidden="0" customWidth="1"/>
    <x:col min="13" max="13" width="24" hidden="0" customWidth="1"/>
  </x:cols>
  <x:sheetData>
    <x:row r="1" ht="28" customHeight="1">
      <x:c r="A1" s="4" t="str">
        <x:v>CONTRATOS DE INTEGRACIÓN EXTERNA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1" t="str">
        <x:v>Servicio</x:v>
      </x:c>
      <x:c r="B3" s="11" t="str">
        <x:v>Operación</x:v>
      </x:c>
      <x:c r="C3" s="11" t="str">
        <x:v>Entrada Localito</x:v>
      </x:c>
      <x:c r="D3" s="11" t="str">
        <x:v>Formato externo</x:v>
      </x:c>
      <x:c r="E3" s="11" t="str">
        <x:v>Auth</x:v>
      </x:c>
      <x:c r="F3" s="11" t="str">
        <x:v>Timeout</x:v>
      </x:c>
      <x:c r="G3" s="11" t="str">
        <x:v>Éxito</x:v>
      </x:c>
      <x:c r="H3" s="11" t="str">
        <x:v>Errores tratados</x:v>
      </x:c>
      <x:c r="I3" s="11" t="str">
        <x:v>Rate limit Localito</x:v>
      </x:c>
      <x:c r="J3" s="11" t="str">
        <x:v>Datos enviados</x:v>
      </x:c>
      <x:c r="K3" s="11" t="str">
        <x:v>Datos NO enviados</x:v>
      </x:c>
      <x:c r="L3" s="11" t="str">
        <x:v>Fallback</x:v>
      </x:c>
      <x:c r="M3" s="11" t="str">
        <x:v>Estado</x:v>
      </x:c>
    </x:row>
    <x:row r="4">
      <x:c r="A4" s="17" t="str">
        <x:v>Groq/OpenAI</x:v>
      </x:c>
      <x:c r="B4" s="17" t="str">
        <x:v>Venta Rápida</x:v>
      </x:c>
      <x:c r="C4" s="17" t="str">
        <x:v>imageDataUrl + catálogo activo</x:v>
      </x:c>
      <x:c r="D4" s="17" t="str">
        <x:v>JSON request + imagen</x:v>
      </x:c>
      <x:c r="E4" s="17" t="str">
        <x:v>API key server-side</x:v>
      </x:c>
      <x:c r="F4" s="17" t="str">
        <x:v>45s</x:v>
      </x:c>
      <x:c r="G4" s="17" t="str">
        <x:v>JSON estructurado validado</x:v>
      </x:c>
      <x:c r="H4" s="17" t="str">
        <x:v>401/403→503; 413; 429; 5xx; JSON inválido</x:v>
      </x:c>
      <x:c r="I4" s="17" t="str">
        <x:v>40/h usuario</x:v>
      </x:c>
      <x:c r="J4" s="17" t="str">
        <x:v>Imagen y catálogo acotado</x:v>
      </x:c>
      <x:c r="K4" s="17" t="str">
        <x:v>Precio/stock inferidos desde foto; personas</x:v>
      </x:c>
      <x:c r="L4" s="17" t="str">
        <x:v>Flujo POS manual</x:v>
      </x:c>
      <x:c r="M4" s="17" t="str">
        <x:v>Implementado configurable</x:v>
      </x:c>
    </x:row>
    <x:row r="5">
      <x:c r="A5" s="17" t="str">
        <x:v>Groq/OpenAI</x:v>
      </x:c>
      <x:c r="B5" s="17" t="str">
        <x:v>Factura IA</x:v>
      </x:c>
      <x:c r="C5" s="17" t="str">
        <x:v>imageDataUrl + catálogo/categorías</x:v>
      </x:c>
      <x:c r="D5" s="17" t="str">
        <x:v>JSON + imagen</x:v>
      </x:c>
      <x:c r="E5" s="17" t="str">
        <x:v>API key server-side</x:v>
      </x:c>
      <x:c r="F5" s="17" t="str">
        <x:v>60s</x:v>
      </x:c>
      <x:c r="G5" s="17" t="str">
        <x:v>Proveedor/folio/líneas/totales normalizados</x:v>
      </x:c>
      <x:c r="H5" s="17" t="str">
        <x:v>401/403→503; 413; 429; 5xx; JSON inválido</x:v>
      </x:c>
      <x:c r="I5" s="17" t="str">
        <x:v>20/h usuario</x:v>
      </x:c>
      <x:c r="J5" s="17" t="str">
        <x:v>Imagen factura + catálogo necesario</x:v>
      </x:c>
      <x:c r="K5" s="17" t="str">
        <x:v>Credenciales/otros tenants</x:v>
      </x:c>
      <x:c r="L5" s="17" t="str">
        <x:v>Ingreso manual de compra</x:v>
      </x:c>
      <x:c r="M5" s="17" t="str">
        <x:v>Implementado configurable</x:v>
      </x:c>
    </x:row>
    <x:row r="6">
      <x:c r="A6" s="17" t="str">
        <x:v>Groq/OpenAI</x:v>
      </x:c>
      <x:c r="B6" s="17" t="str">
        <x:v>Identificación producto</x:v>
      </x:c>
      <x:c r="C6" s="17" t="str">
        <x:v>imageDataUrl + catálogo parcial</x:v>
      </x:c>
      <x:c r="D6" s="17" t="str">
        <x:v>JSON + imagen</x:v>
      </x:c>
      <x:c r="E6" s="17" t="str">
        <x:v>API key server-side</x:v>
      </x:c>
      <x:c r="F6" s="17" t="str">
        <x:v>45s</x:v>
      </x:c>
      <x:c r="G6" s="17" t="str">
        <x:v>Producto/hint normalizado</x:v>
      </x:c>
      <x:c r="H6" s="17" t="str">
        <x:v>Mismo manejo proveedor</x:v>
      </x:c>
      <x:c r="I6" s="17" t="str">
        <x:v>Según ruta</x:v>
      </x:c>
      <x:c r="J6" s="17" t="str">
        <x:v>Imagen + catálogo</x:v>
      </x:c>
      <x:c r="K6" s="17" t="str">
        <x:v>Datos de cliente</x:v>
      </x:c>
      <x:c r="L6" s="17" t="str">
        <x:v>Barcode/hint manual</x:v>
      </x:c>
      <x:c r="M6" s="17" t="str">
        <x:v>Implementado configurable</x:v>
      </x:c>
    </x:row>
    <x:row r="7">
      <x:c r="A7" s="17" t="str">
        <x:v>Resend</x:v>
      </x:c>
      <x:c r="B7" s="17" t="str">
        <x:v>Reset contraseña</x:v>
      </x:c>
      <x:c r="C7" s="17" t="str">
        <x:v>to + reset URL + idempotencyKey</x:v>
      </x:c>
      <x:c r="D7" s="17" t="str">
        <x:v>JSON</x:v>
      </x:c>
      <x:c r="E7" s="17" t="str">
        <x:v>Bearer API key</x:v>
      </x:c>
      <x:c r="F7" s="17" t="str">
        <x:v>10s</x:v>
      </x:c>
      <x:c r="G7" s="17" t="str">
        <x:v>2xx proveedor</x:v>
      </x:c>
      <x:c r="H7" s="17" t="str">
        <x:v>No-2xx → error interno; usuario mantiene respuesta controlada</x:v>
      </x:c>
      <x:c r="I7" s="17" t="str">
        <x:v>Rate limit reset</x:v>
      </x:c>
      <x:c r="J7" s="17" t="str">
        <x:v>Correo destino + enlace</x:v>
      </x:c>
      <x:c r="K7" s="17" t="str">
        <x:v>Contraseña/token hash</x:v>
      </x:c>
      <x:c r="L7" s="17" t="str">
        <x:v>Gmail SMTP</x:v>
      </x:c>
      <x:c r="M7" s="17" t="str">
        <x:v>Implementado configurable</x:v>
      </x:c>
    </x:row>
    <x:row r="8">
      <x:c r="A8" s="17" t="str">
        <x:v>Gmail</x:v>
      </x:c>
      <x:c r="B8" s="17" t="str">
        <x:v>Reset contraseña</x:v>
      </x:c>
      <x:c r="C8" s="17" t="str">
        <x:v>to + mensaje</x:v>
      </x:c>
      <x:c r="D8" s="17" t="str">
        <x:v>SMTP/MIME</x:v>
      </x:c>
      <x:c r="E8" s="17" t="str">
        <x:v>App password</x:v>
      </x:c>
      <x:c r="F8" s="17" t="str">
        <x:v>10-15s</x:v>
      </x:c>
      <x:c r="G8" s="17" t="str">
        <x:v>sendMail</x:v>
      </x:c>
      <x:c r="H8" s="17" t="str">
        <x:v>Excepción controlada</x:v>
      </x:c>
      <x:c r="I8" s="17" t="str">
        <x:v>Rate limit reset</x:v>
      </x:c>
      <x:c r="J8" s="17" t="str">
        <x:v>Correo destino + enlace</x:v>
      </x:c>
      <x:c r="K8" s="17" t="str">
        <x:v>Contraseña/token hash</x:v>
      </x:c>
      <x:c r="L8" s="17" t="str">
        <x:v>Resend</x:v>
      </x:c>
      <x:c r="M8" s="17" t="str">
        <x:v>Implementado configurable</x:v>
      </x:c>
    </x:row>
    <x:row r="9">
      <x:c r="A9" s="17" t="str">
        <x:v>WhatsApp</x:v>
      </x:c>
      <x:c r="B9" s="17" t="str">
        <x:v>Recordatorio fiado</x:v>
      </x:c>
      <x:c r="C9" s="17" t="str">
        <x:v>texto + teléfono</x:v>
      </x:c>
      <x:c r="D9" s="17" t="str">
        <x:v>URL wa.me</x:v>
      </x:c>
      <x:c r="E9" s="17" t="str">
        <x:v>Sin API</x:v>
      </x:c>
      <x:c r="F9" s="17" t="str">
        <x:v>N/A</x:v>
      </x:c>
      <x:c r="G9" s="17" t="str">
        <x:v>Abre app/web</x:v>
      </x:c>
      <x:c r="H9" s="17" t="str">
        <x:v>Sin confirmación de entrega</x:v>
      </x:c>
      <x:c r="I9" s="17" t="str">
        <x:v>N/A</x:v>
      </x:c>
      <x:c r="J9" s="17" t="str">
        <x:v>Mensaje editable</x:v>
      </x:c>
      <x:c r="K9" s="17" t="str">
        <x:v>Credenciales</x:v>
      </x:c>
      <x:c r="L9" s="17" t="str">
        <x:v>Copiar/manual</x:v>
      </x:c>
      <x:c r="M9" s="17" t="str">
        <x:v>Enlace externo</x:v>
      </x:c>
    </x:row>
    <x:row r="10">
      <x:c r="A10" s="17" t="str">
        <x:v>Webpay/Mercado Pago</x:v>
      </x:c>
      <x:c r="B10" s="17" t="str">
        <x:v>Cobro/plan tesis</x:v>
      </x:c>
      <x:c r="C10" s="17" t="str">
        <x:v>monto/medio</x:v>
      </x:c>
      <x:c r="D10" s="17" t="str">
        <x:v>Sin llamada real</x:v>
      </x:c>
      <x:c r="E10" s="17" t="str">
        <x:v>N/A</x:v>
      </x:c>
      <x:c r="F10" s="17" t="str">
        <x:v>N/A</x:v>
      </x:c>
      <x:c r="G10" s="17" t="str">
        <x:v>Estado demo/manual</x:v>
      </x:c>
      <x:c r="H10" s="17" t="str">
        <x:v>N/A</x:v>
      </x:c>
      <x:c r="I10" s="17" t="str">
        <x:v>N/A</x:v>
      </x:c>
      <x:c r="J10" s="17" t="str">
        <x:v>No se envía al proveedor</x:v>
      </x:c>
      <x:c r="K10" s="17" t="str">
        <x:v>Tarjeta/datos financieros</x:v>
      </x:c>
      <x:c r="L10" s="17" t="str">
        <x:v>Registro manual</x:v>
      </x:c>
      <x:c r="M10" s="17" t="str">
        <x:v>Simulado</x:v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46" hidden="0" customWidth="1"/>
    <x:col min="4" max="4" width="24" hidden="0" customWidth="1"/>
    <x:col min="5" max="5" width="34" hidden="0" customWidth="1"/>
    <x:col min="6" max="6" width="40" hidden="0" customWidth="1"/>
    <x:col min="7" max="7" width="28" hidden="0" customWidth="1"/>
    <x:col min="8" max="8" width="22" hidden="0" customWidth="1"/>
    <x:col min="9" max="9" width="20" hidden="0" customWidth="1"/>
    <x:col min="10" max="10" width="14" hidden="0" customWidth="1"/>
    <x:col min="11" max="11" width="38" hidden="0" customWidth="1"/>
  </x:cols>
  <x:sheetData>
    <x:row r="1" ht="28" customHeight="1">
      <x:c r="A1" s="4" t="str">
        <x:v>PATRONES DE ERROR, RESILIENCIA E IDEMPOTENCIA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1" t="str">
        <x:v>Escenario</x:v>
      </x:c>
      <x:c r="B3" s="11" t="str">
        <x:v>Código/señal</x:v>
      </x:c>
      <x:c r="C3" s="11" t="str">
        <x:v>Comportamiento</x:v>
      </x:c>
      <x:c r="D3" s="11" t="str">
        <x:v>¿Reintento automático?</x:v>
      </x:c>
      <x:c r="E3" s="11" t="str">
        <x:v>Riesgo</x:v>
      </x:c>
      <x:c r="F3" s="11" t="str">
        <x:v>Control</x:v>
      </x:c>
      <x:c r="G3" s="11" t="str">
        <x:v>Evidencia</x:v>
      </x:c>
      <x:c r="H3" s="11" t="str">
        <x:v>KRI</x:v>
      </x:c>
      <x:c r="I3" s="11" t="str">
        <x:v>Estado</x:v>
      </x:c>
      <x:c r="J3" s="11" t="str">
        <x:v>Owner</x:v>
      </x:c>
      <x:c r="K3" s="11" t="str">
        <x:v>Mejora</x:v>
      </x:c>
    </x:row>
    <x:row r="4">
      <x:c r="A4" s="17" t="str">
        <x:v>Venta offline aceptada</x:v>
      </x:c>
      <x:c r="B4" s="17" t="str">
        <x:v>2xx</x:v>
      </x:c>
      <x:c r="C4" s="17" t="str">
        <x:v>Eliminar de cola tras confirmar y actualizar vista</x:v>
      </x:c>
      <x:c r="D4" s="17" t="str">
        <x:v>No necesario</x:v>
      </x:c>
      <x:c r="E4" s="17" t="str">
        <x:v>Duplicidad si se repite</x:v>
      </x:c>
      <x:c r="F4" s="17" t="str">
        <x:v>Idempotency-Key</x:v>
      </x:c>
      <x:c r="G4" s="17" t="str">
        <x:v>Estado-Actual.md</x:v>
      </x:c>
      <x:c r="H4" s="17" t="str">
        <x:v>Duplicados</x:v>
      </x:c>
      <x:c r="I4" s="17" t="str">
        <x:v>Implementado</x:v>
      </x:c>
      <x:c r="J4" s="17" t="str">
        <x:v>Dev</x:v>
      </x:c>
      <x:c r="K4" s="17" t="str">
        <x:v>Validar PostgreSQL concurrente</x:v>
      </x:c>
    </x:row>
    <x:row r="5">
      <x:c r="A5" s="17" t="str">
        <x:v>Venta offline con datos inválidos</x:v>
      </x:c>
      <x:c r="B5" s="17" t="str">
        <x:v>400/404/409/413/422</x:v>
      </x:c>
      <x:c r="C5" s="17" t="str">
        <x:v>Marcar pendiente de revisión</x:v>
      </x:c>
      <x:c r="D5" s="17" t="str">
        <x:v>No</x:v>
      </x:c>
      <x:c r="E5" s="17" t="str">
        <x:v>Reintento infinito o reemplazo incorrecto</x:v>
      </x:c>
      <x:c r="F5" s="17" t="str">
        <x:v>Clasificación de errores</x:v>
      </x:c>
      <x:c r="G5" s="17" t="str">
        <x:v>Estado-Actual.md</x:v>
      </x:c>
      <x:c r="H5" s="17" t="str">
        <x:v>Tickets pendientes</x:v>
      </x:c>
      <x:c r="I5" s="17" t="str">
        <x:v>Implementado</x:v>
      </x:c>
      <x:c r="J5" s="17" t="str">
        <x:v>Dev/PO</x:v>
      </x:c>
      <x:c r="K5" s="17" t="str">
        <x:v>Resolución asistida futura</x:v>
      </x:c>
    </x:row>
    <x:row r="6">
      <x:c r="A6" s="17" t="str">
        <x:v>Error red/sesión/permisos/cuota/servidor</x:v>
      </x:c>
      <x:c r="B6" s="17" t="str">
        <x:v>red/401/403/429/5xx</x:v>
      </x:c>
      <x:c r="C6" s="17" t="str">
        <x:v>Detener ciclo y conservar cola</x:v>
      </x:c>
      <x:c r="D6" s="17" t="str">
        <x:v>Sí, después de recuperar condición</x:v>
      </x:c>
      <x:c r="E6" s="17" t="str">
        <x:v>Pérdida/duplicación</x:v>
      </x:c>
      <x:c r="F6" s="17" t="str">
        <x:v>Cola persistente + idempotencia</x:v>
      </x:c>
      <x:c r="G6" s="17" t="str">
        <x:v>Estado-Actual.md</x:v>
      </x:c>
      <x:c r="H6" s="17" t="str">
        <x:v>Ciclos fallidos</x:v>
      </x:c>
      <x:c r="I6" s="17" t="str">
        <x:v>Implementado</x:v>
      </x:c>
      <x:c r="J6" s="17" t="str">
        <x:v>Dev</x:v>
      </x:c>
      <x:c r="K6" s="17" t="str">
        <x:v>Backoff/telemetría futura</x:v>
      </x:c>
    </x:row>
    <x:row r="7">
      <x:c r="A7" s="17" t="str">
        <x:v>IA cuota agotada</x:v>
      </x:c>
      <x:c r="B7" s="17" t="str">
        <x:v>429</x:v>
      </x:c>
      <x:c r="C7" s="17" t="str">
        <x:v>Mensaje con Retry-After/espera</x:v>
      </x:c>
      <x:c r="D7" s="17" t="str">
        <x:v>Manual</x:v>
      </x:c>
      <x:c r="E7" s="17" t="str">
        <x:v>Bloqueo temporal IA</x:v>
      </x:c>
      <x:c r="F7" s="17" t="str">
        <x:v>Manejo proveedor + flujo manual</x:v>
      </x:c>
      <x:c r="G7" s="17" t="str">
        <x:v>visionProvider.ts</x:v>
      </x:c>
      <x:c r="H7" s="17" t="str">
        <x:v>Errores 429</x:v>
      </x:c>
      <x:c r="I7" s="17" t="str">
        <x:v>Implementado</x:v>
      </x:c>
      <x:c r="J7" s="17" t="str">
        <x:v>Dev</x:v>
      </x:c>
      <x:c r="K7" s="17" t="str">
        <x:v>Monitorear cuota</x:v>
      </x:c>
    </x:row>
    <x:row r="8">
      <x:c r="A8" s="17" t="str">
        <x:v>IA credencial inválida</x:v>
      </x:c>
      <x:c r="B8" s="17" t="str">
        <x:v>401/403 proveedor→503 local</x:v>
      </x:c>
      <x:c r="C8" s="17" t="str">
        <x:v>Ocultar detalle sensible y mostrar indisponibilidad</x:v>
      </x:c>
      <x:c r="D8" s="17" t="str">
        <x:v>No hasta corregir</x:v>
      </x:c>
      <x:c r="E8" s="17" t="str">
        <x:v>Servicio IA inutilizable</x:v>
      </x:c>
      <x:c r="F8" s="17" t="str">
        <x:v>Credencial server-side</x:v>
      </x:c>
      <x:c r="G8" s="17" t="str">
        <x:v>visionProvider.ts</x:v>
      </x:c>
      <x:c r="H8" s="17" t="str">
        <x:v>503 IA</x:v>
      </x:c>
      <x:c r="I8" s="17" t="str">
        <x:v>Implementado</x:v>
      </x:c>
      <x:c r="J8" s="17" t="str">
        <x:v>Dev</x:v>
      </x:c>
      <x:c r="K8" s="17" t="str">
        <x:v>Health/alerta deploy</x:v>
      </x:c>
    </x:row>
    <x:row r="9">
      <x:c r="A9" s="17" t="str">
        <x:v>IA respuesta vacía/inválida</x:v>
      </x:c>
      <x:c r="B9" s="17" t="str">
        <x:v>502 local</x:v>
      </x:c>
      <x:c r="C9" s="17" t="str">
        <x:v>Error público controlado</x:v>
      </x:c>
      <x:c r="D9" s="17" t="str">
        <x:v>Manual</x:v>
      </x:c>
      <x:c r="E9" s="17" t="str">
        <x:v>Datos corruptos</x:v>
      </x:c>
      <x:c r="F9" s="17" t="str">
        <x:v>Parseo JSON + schema/normalización</x:v>
      </x:c>
      <x:c r="G9" s="17" t="str">
        <x:v>visionProvider.ts</x:v>
      </x:c>
      <x:c r="H9" s="17" t="str">
        <x:v>502 IA</x:v>
      </x:c>
      <x:c r="I9" s="17" t="str">
        <x:v>Implementado</x:v>
      </x:c>
      <x:c r="J9" s="17" t="str">
        <x:v>Dev</x:v>
      </x:c>
      <x:c r="K9" s="17" t="str">
        <x:v>Métrica de calidad</x:v>
      </x:c>
    </x:row>
    <x:row r="10">
      <x:c r="A10" s="17" t="str">
        <x:v>Correo proveedor falla</x:v>
      </x:c>
      <x:c r="B10" s="17" t="str">
        <x:v>No-2xx/excepción</x:v>
      </x:c>
      <x:c r="C10" s="17" t="str">
        <x:v>Log servidor; endpoint de request sigue respuesta genérica</x:v>
      </x:c>
      <x:c r="D10" s="17" t="str">
        <x:v>No inmediato usuario</x:v>
      </x:c>
      <x:c r="E10" s="17" t="str">
        <x:v>Usuario no recibe enlace</x:v>
      </x:c>
      <x:c r="F10" s="17" t="str">
        <x:v>Proveedor alternativo/config</x:v>
      </x:c>
      <x:c r="G10" s="17" t="str">
        <x:v>email.ts/server.ts</x:v>
      </x:c>
      <x:c r="H10" s="17" t="str">
        <x:v>Fallos envío</x:v>
      </x:c>
      <x:c r="I10" s="17" t="str">
        <x:v>Implementado</x:v>
      </x:c>
      <x:c r="J10" s="17" t="str">
        <x:v>Dev</x:v>
      </x:c>
      <x:c r="K10" s="17" t="str">
        <x:v>Cola de correo futura</x:v>
      </x:c>
    </x:row>
    <x:row r="11">
      <x:c r="A11" s="17" t="str">
        <x:v>PostgreSQL ausente en producción</x:v>
      </x:c>
      <x:c r="B11" s="17" t="str">
        <x:v>startup error</x:v>
      </x:c>
      <x:c r="C11" s="17" t="str">
        <x:v>API no inicia en producción/Vercel</x:v>
      </x:c>
      <x:c r="D11" s="17" t="str">
        <x:v>No</x:v>
      </x:c>
      <x:c r="E11" s="17" t="str">
        <x:v>Pérdida persistencia</x:v>
      </x:c>
      <x:c r="F11" s="17" t="str">
        <x:v>Fail-fast createRepository</x:v>
      </x:c>
      <x:c r="G11" s="17" t="str">
        <x:v>repository.ts</x:v>
      </x:c>
      <x:c r="H11" s="17" t="str">
        <x:v>Startup</x:v>
      </x:c>
      <x:c r="I11" s="17" t="str">
        <x:v>Implementado</x:v>
      </x:c>
      <x:c r="J11" s="17" t="str">
        <x:v>Dev</x:v>
      </x:c>
      <x:c r="K11" s="17" t="str">
        <x:v>Validar ambiente</x:v>
      </x:c>
    </x:row>
    <x:row r="12">
      <x:c r="A12" s="17" t="str">
        <x:v>PostgreSQL cae en desarrollo</x:v>
      </x:c>
      <x:c r="B12" s="17" t="str">
        <x:v>conexión error</x:v>
      </x:c>
      <x:c r="C12" s="17" t="str">
        <x:v>Fallback memoria solo no-prod</x:v>
      </x:c>
      <x:c r="D12" s="17" t="str">
        <x:v>No</x:v>
      </x:c>
      <x:c r="E12" s="17" t="str">
        <x:v>Confundir entorno con producción</x:v>
      </x:c>
      <x:c r="F12" s="17" t="str">
        <x:v>Mensaje explícito</x:v>
      </x:c>
      <x:c r="G12" s="17" t="str">
        <x:v>repository.ts</x:v>
      </x:c>
      <x:c r="H12" s="17" t="str">
        <x:v>Fallback count</x:v>
      </x:c>
      <x:c r="I12" s="17" t="str">
        <x:v>Implementado</x:v>
      </x:c>
      <x:c r="J12" s="17" t="str">
        <x:v>Dev</x:v>
      </x:c>
      <x:c r="K12" s="17" t="str">
        <x:v>Usar DB de integración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6" hidden="0" customWidth="1"/>
    <x:col min="4" max="4" width="32" hidden="0" customWidth="1"/>
    <x:col min="5" max="5" width="42" hidden="0" customWidth="1"/>
    <x:col min="6" max="6" width="48" hidden="0" customWidth="1"/>
    <x:col min="7" max="7" width="20" hidden="0" customWidth="1"/>
    <x:col min="8" max="8" width="14" hidden="0" customWidth="1"/>
    <x:col min="9" max="9" width="26" hidden="0" customWidth="1"/>
    <x:col min="10" max="10" width="18" hidden="0" customWidth="1"/>
    <x:col min="11" max="11" width="24" hidden="0" customWidth="1"/>
    <x:col min="12" max="12" width="20" hidden="0" customWidth="1"/>
  </x:cols>
  <x:sheetData>
    <x:row r="1" ht="28" customHeight="1">
      <x:c r="A1" s="4" t="str">
        <x:v>PLAN DE PRUEBAS DE INTEGRACIÓN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1" t="str">
        <x:v>ID</x:v>
      </x:c>
      <x:c r="B3" s="11" t="str">
        <x:v>Integración</x:v>
      </x:c>
      <x:c r="C3" s="11" t="str">
        <x:v>Objetivo</x:v>
      </x:c>
      <x:c r="D3" s="11" t="str">
        <x:v>Precondición</x:v>
      </x:c>
      <x:c r="E3" s="11" t="str">
        <x:v>Caso</x:v>
      </x:c>
      <x:c r="F3" s="11" t="str">
        <x:v>Resultado esperado</x:v>
      </x:c>
      <x:c r="G3" s="11" t="str">
        <x:v>Tipo</x:v>
      </x:c>
      <x:c r="H3" s="11" t="str">
        <x:v>Prioridad</x:v>
      </x:c>
      <x:c r="I3" s="11" t="str">
        <x:v>Estado evidencia</x:v>
      </x:c>
      <x:c r="J3" s="11" t="str">
        <x:v>Automatizable</x:v>
      </x:c>
      <x:c r="K3" s="11" t="str">
        <x:v>Ambiente</x:v>
      </x:c>
      <x:c r="L3" s="11" t="str">
        <x:v>Relaciona</x:v>
      </x:c>
    </x:row>
    <x:row r="4">
      <x:c r="A4" s="17" t="str">
        <x:v>IT-001</x:v>
      </x:c>
      <x:c r="B4" s="17" t="str">
        <x:v>PWA↔API</x:v>
      </x:c>
      <x:c r="C4" s="17" t="str">
        <x:v>Autenticación y contrato</x:v>
      </x:c>
      <x:c r="D4" s="17" t="str">
        <x:v>API prueba</x:v>
      </x:c>
      <x:c r="E4" s="17" t="str">
        <x:v>Login válido e inválido</x:v>
      </x:c>
      <x:c r="F4" s="17" t="str">
        <x:v>Token solo en válido; errores coherentes</x:v>
      </x:c>
      <x:c r="G4" s="17" t="str">
        <x:v>Contrato</x:v>
      </x:c>
      <x:c r="H4" s="17" t="str">
        <x:v>Crítica</x:v>
      </x:c>
      <x:c r="I4" s="17" t="str">
        <x:v>Cubierto parcialmente</x:v>
      </x:c>
      <x:c r="J4" s="17" t="str">
        <x:v>Sí</x:v>
      </x:c>
      <x:c r="K4" s="17" t="str">
        <x:v>memoria/PG</x:v>
      </x:c>
      <x:c r="L4" s="17" t="str">
        <x:v>INT-01</x:v>
      </x:c>
    </x:row>
    <x:row r="5">
      <x:c r="A5" s="17" t="str">
        <x:v>IT-002</x:v>
      </x:c>
      <x:c r="B5" s="17" t="str">
        <x:v>API↔PostgreSQL</x:v>
      </x:c>
      <x:c r="C5" s="17" t="str">
        <x:v>Persistencia real</x:v>
      </x:c>
      <x:c r="D5" s="17" t="str">
        <x:v>BD separada</x:v>
      </x:c>
      <x:c r="E5" s="17" t="str">
        <x:v>Registrar tenant/venta y reiniciar API</x:v>
      </x:c>
      <x:c r="F5" s="17" t="str">
        <x:v>Datos persisten tras reinicio</x:v>
      </x:c>
      <x:c r="G5" s="17" t="str">
        <x:v>Integración DB</x:v>
      </x:c>
      <x:c r="H5" s="17" t="str">
        <x:v>Crítica</x:v>
      </x:c>
      <x:c r="I5" s="17" t="str">
        <x:v>Pendiente real</x:v>
      </x:c>
      <x:c r="J5" s="17" t="str">
        <x:v>Sí</x:v>
      </x:c>
      <x:c r="K5" s="17" t="str">
        <x:v>PostgreSQL test</x:v>
      </x:c>
      <x:c r="L5" s="17" t="str">
        <x:v>INT-02</x:v>
      </x:c>
    </x:row>
    <x:row r="6">
      <x:c r="A6" s="17" t="str">
        <x:v>IT-003</x:v>
      </x:c>
      <x:c r="B6" s="17" t="str">
        <x:v>API↔PostgreSQL</x:v>
      </x:c>
      <x:c r="C6" s="17" t="str">
        <x:v>Idempotencia concurrente</x:v>
      </x:c>
      <x:c r="D6" s="17" t="str">
        <x:v>BD separada</x:v>
      </x:c>
      <x:c r="E6" s="17" t="str">
        <x:v>Misma venta simultánea con misma key</x:v>
      </x:c>
      <x:c r="F6" s="17" t="str">
        <x:v>Una venta/efecto</x:v>
      </x:c>
      <x:c r="G6" s="17" t="str">
        <x:v>Concurrencia</x:v>
      </x:c>
      <x:c r="H6" s="17" t="str">
        <x:v>Crítica</x:v>
      </x:c>
      <x:c r="I6" s="17" t="str">
        <x:v>Pendiente</x:v>
      </x:c>
      <x:c r="J6" s="17" t="str">
        <x:v>Sí</x:v>
      </x:c>
      <x:c r="K6" s="17" t="str">
        <x:v>PostgreSQL test</x:v>
      </x:c>
      <x:c r="L6" s="17" t="str">
        <x:v>INT-02/08</x:v>
      </x:c>
    </x:row>
    <x:row r="7">
      <x:c r="A7" s="17" t="str">
        <x:v>IT-004</x:v>
      </x:c>
      <x:c r="B7" s="17" t="str">
        <x:v>Offline↔API</x:v>
      </x:c>
      <x:c r="C7" s="17" t="str">
        <x:v>Clasificar rechazos</x:v>
      </x:c>
      <x:c r="D7" s="17" t="str">
        <x:v>PWA + API test</x:v>
      </x:c>
      <x:c r="E7" s="17" t="str">
        <x:v>Forzar 409/422</x:v>
      </x:c>
      <x:c r="F7" s="17" t="str">
        <x:v>Ticket queda pendiente, sin reintento automático</x:v>
      </x:c>
      <x:c r="G7" s="17" t="str">
        <x:v>E2E integración</x:v>
      </x:c>
      <x:c r="H7" s="17" t="str">
        <x:v>Alta</x:v>
      </x:c>
      <x:c r="I7" s="17" t="str">
        <x:v>Cubierto navegador previo</x:v>
      </x:c>
      <x:c r="J7" s="17" t="str">
        <x:v>Sí</x:v>
      </x:c>
      <x:c r="K7" s="17" t="str">
        <x:v>Chromium</x:v>
      </x:c>
      <x:c r="L7" s="17" t="str">
        <x:v>INT-08</x:v>
      </x:c>
    </x:row>
    <x:row r="8">
      <x:c r="A8" s="17" t="str">
        <x:v>IT-005</x:v>
      </x:c>
      <x:c r="B8" s="17" t="str">
        <x:v>Offline↔API</x:v>
      </x:c>
      <x:c r="C8" s="17" t="str">
        <x:v>Recuperar error de red</x:v>
      </x:c>
      <x:c r="D8" s="17" t="str">
        <x:v>PWA + API</x:v>
      </x:c>
      <x:c r="E8" s="17" t="str">
        <x:v>Cortar red y restaurar</x:v>
      </x:c>
      <x:c r="F8" s="17" t="str">
        <x:v>Cola se conserva y sincroniza una vez</x:v>
      </x:c>
      <x:c r="G8" s="17" t="str">
        <x:v>E2E</x:v>
      </x:c>
      <x:c r="H8" s="17" t="str">
        <x:v>Crítica</x:v>
      </x:c>
      <x:c r="I8" s="17" t="str">
        <x:v>Cubierto parcialmente</x:v>
      </x:c>
      <x:c r="J8" s="17" t="str">
        <x:v>Sí</x:v>
      </x:c>
      <x:c r="K8" s="17" t="str">
        <x:v>Chromium; físico pendiente</x:v>
      </x:c>
      <x:c r="L8" s="17" t="str">
        <x:v>INT-07/08</x:v>
      </x:c>
    </x:row>
    <x:row r="9">
      <x:c r="A9" s="17" t="str">
        <x:v>IT-006</x:v>
      </x:c>
      <x:c r="B9" s="17" t="str">
        <x:v>API↔IA</x:v>
      </x:c>
      <x:c r="C9" s="17" t="str">
        <x:v>Venta Rápida exitosa</x:v>
      </x:c>
      <x:c r="D9" s="17" t="str">
        <x:v>Proveedor test/config</x:v>
      </x:c>
      <x:c r="E9" s="17" t="str">
        <x:v>Foto con catálogo controlado</x:v>
      </x:c>
      <x:c r="F9" s="17" t="str">
        <x:v>Solo IDs reales; warnings; no muta stock</x:v>
      </x:c>
      <x:c r="G9" s="17" t="str">
        <x:v>Externa</x:v>
      </x:c>
      <x:c r="H9" s="17" t="str">
        <x:v>Alta</x:v>
      </x:c>
      <x:c r="I9" s="17" t="str">
        <x:v>Funcionalidad implementada</x:v>
      </x:c>
      <x:c r="J9" s="17" t="str">
        <x:v>Sí con mock; real controlado</x:v>
      </x:c>
      <x:c r="K9" s="17" t="str">
        <x:v>IA test</x:v>
      </x:c>
      <x:c r="L9" s="17" t="str">
        <x:v>INT-03/04</x:v>
      </x:c>
    </x:row>
    <x:row r="10">
      <x:c r="A10" s="17" t="str">
        <x:v>IT-007</x:v>
      </x:c>
      <x:c r="B10" s="17" t="str">
        <x:v>API↔IA</x:v>
      </x:c>
      <x:c r="C10" s="17" t="str">
        <x:v>429/5xx/JSON inválido</x:v>
      </x:c>
      <x:c r="D10" s="17" t="str">
        <x:v>Mock proveedor</x:v>
      </x:c>
      <x:c r="E10" s="17" t="str">
        <x:v>Simular fallos</x:v>
      </x:c>
      <x:c r="F10" s="17" t="str">
        <x:v>HTTP local controlado y fallback manual</x:v>
      </x:c>
      <x:c r="G10" s="17" t="str">
        <x:v>Resiliencia</x:v>
      </x:c>
      <x:c r="H10" s="17" t="str">
        <x:v>Alta</x:v>
      </x:c>
      <x:c r="I10" s="17" t="str">
        <x:v>Diseñado</x:v>
      </x:c>
      <x:c r="J10" s="17" t="str">
        <x:v>Sí</x:v>
      </x:c>
      <x:c r="K10" s="17" t="str">
        <x:v>mock</x:v>
      </x:c>
      <x:c r="L10" s="17" t="str">
        <x:v>INT-03/04</x:v>
      </x:c>
    </x:row>
    <x:row r="11">
      <x:c r="A11" s="17" t="str">
        <x:v>IT-008</x:v>
      </x:c>
      <x:c r="B11" s="17" t="str">
        <x:v>API↔IA</x:v>
      </x:c>
      <x:c r="C11" s="17" t="str">
        <x:v>Factura human-in-loop</x:v>
      </x:c>
      <x:c r="D11" s="17" t="str">
        <x:v>Proveedor/config</x:v>
      </x:c>
      <x:c r="E11" s="17" t="str">
        <x:v>Analizar y luego importar tras corrección</x:v>
      </x:c>
      <x:c r="F11" s="17" t="str">
        <x:v>Stock cambia solo en import confirmado</x:v>
      </x:c>
      <x:c r="G11" s="17" t="str">
        <x:v>E2E</x:v>
      </x:c>
      <x:c r="H11" s="17" t="str">
        <x:v>Alta</x:v>
      </x:c>
      <x:c r="I11" s="17" t="str">
        <x:v>Parcial</x:v>
      </x:c>
      <x:c r="J11" s="17" t="str">
        <x:v>Sí</x:v>
      </x:c>
      <x:c r="K11" s="17" t="str">
        <x:v>test</x:v>
      </x:c>
      <x:c r="L11" s="17" t="str">
        <x:v>INT-03/04</x:v>
      </x:c>
    </x:row>
    <x:row r="12">
      <x:c r="A12" s="17" t="str">
        <x:v>IT-009</x:v>
      </x:c>
      <x:c r="B12" s="17" t="str">
        <x:v>API↔Resend/Gmail</x:v>
      </x:c>
      <x:c r="C12" s="17" t="str">
        <x:v>Reset por correo</x:v>
      </x:c>
      <x:c r="D12" s="17" t="str">
        <x:v>Proveedor sandbox/cuenta test</x:v>
      </x:c>
      <x:c r="E12" s="17" t="str">
        <x:v>Solicitar reset</x:v>
      </x:c>
      <x:c r="F12" s="17" t="str">
        <x:v>Correo llega; token vence y es single-use</x:v>
      </x:c>
      <x:c r="G12" s="17" t="str">
        <x:v>Externa</x:v>
      </x:c>
      <x:c r="H12" s="17" t="str">
        <x:v>Alta</x:v>
      </x:c>
      <x:c r="I12" s="17" t="str">
        <x:v>Configuración dependiente</x:v>
      </x:c>
      <x:c r="J12" s="17" t="str">
        <x:v>Parcial</x:v>
      </x:c>
      <x:c r="K12" s="17" t="str">
        <x:v>test email</x:v>
      </x:c>
      <x:c r="L12" s="17" t="str">
        <x:v>INT-05/06</x:v>
      </x:c>
    </x:row>
    <x:row r="13">
      <x:c r="A13" s="17" t="str">
        <x:v>IT-010</x:v>
      </x:c>
      <x:c r="B13" s="17" t="str">
        <x:v>API↔Postgres</x:v>
      </x:c>
      <x:c r="C13" s="17" t="str">
        <x:v>Aislamiento tenant</x:v>
      </x:c>
      <x:c r="D13" s="17" t="str">
        <x:v>Dos tenants</x:v>
      </x:c>
      <x:c r="E13" s="17" t="str">
        <x:v>Intentar IDs cruzados</x:v>
      </x:c>
      <x:c r="F13" s="17" t="str">
        <x:v>0 datos cruzados</x:v>
      </x:c>
      <x:c r="G13" s="17" t="str">
        <x:v>Seguridad integración</x:v>
      </x:c>
      <x:c r="H13" s="17" t="str">
        <x:v>Crítica</x:v>
      </x:c>
      <x:c r="I13" s="17" t="str">
        <x:v>Pendiente PG real</x:v>
      </x:c>
      <x:c r="J13" s="17" t="str">
        <x:v>Sí</x:v>
      </x:c>
      <x:c r="K13" s="17" t="str">
        <x:v>PostgreSQL test</x:v>
      </x:c>
      <x:c r="L13" s="17" t="str">
        <x:v>INT-02</x:v>
      </x:c>
    </x:row>
    <x:row r="14">
      <x:c r="A14" s="17" t="str">
        <x:v>IT-011</x:v>
      </x:c>
      <x:c r="B14" s="17" t="str">
        <x:v>Health</x:v>
      </x:c>
      <x:c r="C14" s="17" t="str">
        <x:v>Estado de dependencias</x:v>
      </x:c>
      <x:c r="D14" s="17" t="str">
        <x:v>Ambiente</x:v>
      </x:c>
      <x:c r="E14" s="17" t="str">
        <x:v>GET /health</x:v>
      </x:c>
      <x:c r="F14" s="17" t="str">
        <x:v>Indica storage/IA/correo sin secretos</x:v>
      </x:c>
      <x:c r="G14" s="17" t="str">
        <x:v>Observabilidad</x:v>
      </x:c>
      <x:c r="H14" s="17" t="str">
        <x:v>Media</x:v>
      </x:c>
      <x:c r="I14" s="17" t="str">
        <x:v>Implementado</x:v>
      </x:c>
      <x:c r="J14" s="17" t="str">
        <x:v>Sí</x:v>
      </x:c>
      <x:c r="K14" s="17" t="str">
        <x:v>cualquiera</x:v>
      </x:c>
      <x:c r="L14" s="17" t="str">
        <x:v>INT-02/03/05</x:v>
      </x:c>
    </x:row>
    <x:row r="15">
      <x:c r="A15" s="17" t="str">
        <x:v>IT-012</x:v>
      </x:c>
      <x:c r="B15" s="17" t="str">
        <x:v>Pago demo</x:v>
      </x:c>
      <x:c r="C15" s="17" t="str">
        <x:v>No confundir simulación</x:v>
      </x:c>
      <x:c r="D15" s="17" t="str">
        <x:v>API prueba</x:v>
      </x:c>
      <x:c r="E15" s="17" t="str">
        <x:v>Crear/confirmar Webpay demo</x:v>
      </x:c>
      <x:c r="F15" s="17" t="str">
        <x:v>Mensaje explícito; no llamada Transbank</x:v>
      </x:c>
      <x:c r="G15" s="17" t="str">
        <x:v>Alcance</x:v>
      </x:c>
      <x:c r="H15" s="17" t="str">
        <x:v>Alta</x:v>
      </x:c>
      <x:c r="I15" s="17" t="str">
        <x:v>Implementado</x:v>
      </x:c>
      <x:c r="J15" s="17" t="str">
        <x:v>Sí</x:v>
      </x:c>
      <x:c r="K15" s="17" t="str">
        <x:v>test</x:v>
      </x:c>
      <x:c r="L15" s="17" t="str">
        <x:v>INT-10</x:v>
      </x:c>
    </x:row>
    <x:row r="16">
      <x:c r="A16" s="17" t="str">
        <x:v>IT-013</x:v>
      </x:c>
      <x:c r="B16" s="17" t="str">
        <x:v>WhatsApp link</x:v>
      </x:c>
      <x:c r="C16" s="17" t="str">
        <x:v>Construcción URL segura</x:v>
      </x:c>
      <x:c r="D16" s="17" t="str">
        <x:v>Cliente con teléfono</x:v>
      </x:c>
      <x:c r="E16" s="17" t="str">
        <x:v>Generar reminder</x:v>
      </x:c>
      <x:c r="F16" s="17" t="str">
        <x:v>URL wa.me con texto codificado</x:v>
      </x:c>
      <x:c r="G16" s="17" t="str">
        <x:v>Contrato URL</x:v>
      </x:c>
      <x:c r="H16" s="17" t="str">
        <x:v>Media</x:v>
      </x:c>
      <x:c r="I16" s="17" t="str">
        <x:v>Implementado</x:v>
      </x:c>
      <x:c r="J16" s="17" t="str">
        <x:v>Sí</x:v>
      </x:c>
      <x:c r="K16" s="17" t="str">
        <x:v>test</x:v>
      </x:c>
      <x:c r="L16" s="17" t="str">
        <x:v>INT-09</x:v>
      </x:c>
    </x:row>
    <x:row r="17">
      <x:c r="A17" s="17" t="str">
        <x:v>IT-014</x:v>
      </x:c>
      <x:c r="B17" s="17" t="str">
        <x:v>Correo/IA secretos</x:v>
      </x:c>
      <x:c r="C17" s="17" t="str">
        <x:v>No exponer keys</x:v>
      </x:c>
      <x:c r="D17" s="17" t="str">
        <x:v>Build/API</x:v>
      </x:c>
      <x:c r="E17" s="17" t="str">
        <x:v>Inspeccionar bundle/respuestas</x:v>
      </x:c>
      <x:c r="F17" s="17" t="str">
        <x:v>No aparecen secretos</x:v>
      </x:c>
      <x:c r="G17" s="17" t="str">
        <x:v>Seguridad</x:v>
      </x:c>
      <x:c r="H17" s="17" t="str">
        <x:v>Crítica</x:v>
      </x:c>
      <x:c r="I17" s="17" t="str">
        <x:v>Pendiente formal</x:v>
      </x:c>
      <x:c r="J17" s="17" t="str">
        <x:v>Sí</x:v>
      </x:c>
      <x:c r="K17" s="17" t="str">
        <x:v>CI</x:v>
      </x:c>
      <x:c r="L17" s="17" t="str">
        <x:v>INT-03/04/05/06</x:v>
      </x:c>
    </x:row>
  </x:sheetData>
  <x:mergeCells>
    <x:mergeCell ref="A1:L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18" hidden="0" customWidth="1"/>
    <x:col min="5" max="5" width="42" hidden="0" customWidth="1"/>
    <x:col min="6" max="6" width="38" hidden="0" customWidth="1"/>
    <x:col min="7" max="7" width="40" hidden="0" customWidth="1"/>
    <x:col min="8" max="8" width="32" hidden="0" customWidth="1"/>
    <x:col min="9" max="9" width="30" hidden="0" customWidth="1"/>
    <x:col min="10" max="10" width="22" hidden="0" customWidth="1"/>
    <x:col min="11" max="11" width="36" hidden="0" customWidth="1"/>
  </x:cols>
  <x:sheetData>
    <x:row r="1" ht="28" customHeight="1">
      <x:c r="A1" s="4" t="str">
        <x:v>TRAZABILIDAD INTEGRACIÓN → PRODUCT BACKLOG → EVIDENCIA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1" t="str">
        <x:v>Integración</x:v>
      </x:c>
      <x:c r="B3" s="11" t="str">
        <x:v>Epic/área</x:v>
      </x:c>
      <x:c r="C3" s="11" t="str">
        <x:v>HU/Task relacionada</x:v>
      </x:c>
      <x:c r="D3" s="11" t="str">
        <x:v>Sprint oficial</x:v>
      </x:c>
      <x:c r="E3" s="11" t="str">
        <x:v>Objetivo de integración</x:v>
      </x:c>
      <x:c r="F3" s="11" t="str">
        <x:v>Evidencia actual</x:v>
      </x:c>
      <x:c r="G3" s="11" t="str">
        <x:v>Pendiente</x:v>
      </x:c>
      <x:c r="H3" s="11" t="str">
        <x:v>DoD/criterio</x:v>
      </x:c>
      <x:c r="I3" s="11" t="str">
        <x:v>Riesgo</x:v>
      </x:c>
      <x:c r="J3" s="11" t="str">
        <x:v>Estado</x:v>
      </x:c>
      <x:c r="K3" s="11" t="str">
        <x:v>Nota</x:v>
      </x:c>
    </x:row>
    <x:row r="4">
      <x:c r="A4" s="17" t="str">
        <x:v>INT-01 PWA↔API</x:v>
      </x:c>
      <x:c r="B4" s="17" t="str">
        <x:v>Núcleo SaaS/POS</x:v>
      </x:c>
      <x:c r="C4" s="17" t="str">
        <x:v>Múltiples HU núcleo</x:v>
      </x:c>
      <x:c r="D4" s="17" t="str">
        <x:v>S1–S7</x:v>
      </x:c>
      <x:c r="E4" s="17" t="str">
        <x:v>Contrato cliente-servidor</x:v>
      </x:c>
      <x:c r="F4" s="17" t="str">
        <x:v>API + 61 tests</x:v>
      </x:c>
      <x:c r="G4" s="17" t="str">
        <x:v>Regresión visual post-rediseño</x:v>
      </x:c>
      <x:c r="H4" s="17" t="str">
        <x:v>Tipos + tests + build</x:v>
      </x:c>
      <x:c r="I4" s="17" t="str">
        <x:v>Cambios rompen contrato</x:v>
      </x:c>
      <x:c r="J4" s="17" t="str">
        <x:v>Implementado</x:v>
      </x:c>
      <x:c r="K4" s="17" t="str">
        <x:v>Evoluciona por Sprint.</x:v>
      </x:c>
    </x:row>
    <x:row r="5">
      <x:c r="A5" s="17" t="str">
        <x:v>INT-02 PostgreSQL</x:v>
      </x:c>
      <x:c r="B5" s="17" t="str">
        <x:v>Persistencia</x:v>
      </x:c>
      <x:c r="C5" s="17" t="str">
        <x:v>TASK-066; TASK-067</x:v>
      </x:c>
      <x:c r="D5" s="17" t="str">
        <x:v>S8</x:v>
      </x:c>
      <x:c r="E5" s="17" t="str">
        <x:v>Persistencia/concurrencia real</x:v>
      </x:c>
      <x:c r="F5" s="17" t="str">
        <x:v>Schema + repository</x:v>
      </x:c>
      <x:c r="G5" s="17" t="str">
        <x:v>Migraciones/queries/concurrencia</x:v>
      </x:c>
      <x:c r="H5" s="17" t="str">
        <x:v>Prueba DB separada</x:v>
      </x:c>
      <x:c r="I5" s="17" t="str">
        <x:v>Duplicidad/inconsistencia</x:v>
      </x:c>
      <x:c r="J5" s="17" t="str">
        <x:v>Pendiente validación</x:v>
      </x:c>
      <x:c r="K5" s="17" t="str">
        <x:v>Producción exige PG.</x:v>
      </x:c>
    </x:row>
    <x:row r="6">
      <x:c r="A6" s="17" t="str">
        <x:v>INT-03/04 IA</x:v>
      </x:c>
      <x:c r="B6" s="17" t="str">
        <x:v>Venta Rápida / factura</x:v>
      </x:c>
      <x:c r="C6" s="17" t="str">
        <x:v>HU IA + validaciones</x:v>
      </x:c>
      <x:c r="D6" s="17" t="str">
        <x:v>S4 / S8</x:v>
      </x:c>
      <x:c r="E6" s="17" t="str">
        <x:v>Integrar proveedor sin ceder reglas de negocio</x:v>
      </x:c>
      <x:c r="F6" s="17" t="str">
        <x:v>Código proveedor + normalización</x:v>
      </x:c>
      <x:c r="G6" s="17" t="str">
        <x:v>Métricas/calidad real</x:v>
      </x:c>
      <x:c r="H6" s="17" t="str">
        <x:v>Human-in-loop</x:v>
      </x:c>
      <x:c r="I6" s="17" t="str">
        <x:v>Cuota/error/model drift</x:v>
      </x:c>
      <x:c r="J6" s="17" t="str">
        <x:v>Implementado configurable</x:v>
      </x:c>
      <x:c r="K6" s="17" t="str">
        <x:v>Proveedor sustituible.</x:v>
      </x:c>
    </x:row>
    <x:row r="7">
      <x:c r="A7" s="17" t="str">
        <x:v>INT-05/06 Correo</x:v>
      </x:c>
      <x:c r="B7" s="17" t="str">
        <x:v>Identidad</x:v>
      </x:c>
      <x:c r="C7" s="17" t="str">
        <x:v>Recovery</x:v>
      </x:c>
      <x:c r="D7" s="17" t="str">
        <x:v>S6/S8</x:v>
      </x:c>
      <x:c r="E7" s="17" t="str">
        <x:v>Entrega token reset</x:v>
      </x:c>
      <x:c r="F7" s="17" t="str">
        <x:v>email.ts</x:v>
      </x:c>
      <x:c r="G7" s="17" t="str">
        <x:v>Verificar proveedor de despliegue</x:v>
      </x:c>
      <x:c r="H7" s="17" t="str">
        <x:v>No enumeración + one-time</x:v>
      </x:c>
      <x:c r="I7" s="17" t="str">
        <x:v>Entrega fallida</x:v>
      </x:c>
      <x:c r="J7" s="17" t="str">
        <x:v>Implementado configurable</x:v>
      </x:c>
      <x:c r="K7" s="17" t="str">
        <x:v>Dos providers.</x:v>
      </x:c>
    </x:row>
    <x:row r="8">
      <x:c r="A8" s="17" t="str">
        <x:v>INT-07/08 Offline</x:v>
      </x:c>
      <x:c r="B8" s="17" t="str">
        <x:v>Continuidad</x:v>
      </x:c>
      <x:c r="C8" s="17" t="str">
        <x:v>Hardening + TASK-065</x:v>
      </x:c>
      <x:c r="D8" s="17" t="str">
        <x:v>S5/S8</x:v>
      </x:c>
      <x:c r="E8" s="17" t="str">
        <x:v>Sincronizar sin duplicar</x:v>
      </x:c>
      <x:c r="F8" s="17" t="str">
        <x:v>Suites navegador 08-09</x:v>
      </x:c>
      <x:c r="G8" s="17" t="str">
        <x:v>Dispositivos físicos/PG</x:v>
      </x:c>
      <x:c r="H8" s="17" t="str">
        <x:v>Idempotencia + revisión errores</x:v>
      </x:c>
      <x:c r="I8" s="17" t="str">
        <x:v>Precio/cuenta/origen</x:v>
      </x:c>
      <x:c r="J8" s="17" t="str">
        <x:v>Parcial validado</x:v>
      </x:c>
      <x:c r="K8" s="17" t="str">
        <x:v>Solo ventas offline.</x:v>
      </x:c>
    </x:row>
    <x:row r="9">
      <x:c r="A9" s="17" t="str">
        <x:v>INT-10/11 Pagos</x:v>
      </x:c>
      <x:c r="B9" s="17" t="str">
        <x:v>Suscripción/cobro</x:v>
      </x:c>
      <x:c r="C9" s="17" t="str">
        <x:v>Planes/medios</x:v>
      </x:c>
      <x:c r="D9" s="17" t="str">
        <x:v>S6</x:v>
      </x:c>
      <x:c r="E9" s="17" t="str">
        <x:v>Demostrar estado sin dinero real</x:v>
      </x:c>
      <x:c r="F9" s="17" t="str">
        <x:v>Alcance + endpoints demo</x:v>
      </x:c>
      <x:c r="G9" s="17" t="str">
        <x:v>Integración comercial futura</x:v>
      </x:c>
      <x:c r="H9" s="17" t="str">
        <x:v>Mensaje explícito simulación</x:v>
      </x:c>
      <x:c r="I9" s="17" t="str">
        <x:v>Confusión en defensa</x:v>
      </x:c>
      <x:c r="J9" s="17" t="str">
        <x:v>Simulado</x:v>
      </x:c>
      <x:c r="K9" s="17" t="str">
        <x:v>No prometer API real.</x:v>
      </x:c>
    </x:row>
    <x:row r="10">
      <x:c r="A10" s="17" t="str">
        <x:v>INT-12 SII</x:v>
      </x:c>
      <x:c r="B10" s="17" t="str">
        <x:v>Roadmap</x:v>
      </x:c>
      <x:c r="C10" s="17" t="str">
        <x:v>Fuera de tesis</x:v>
      </x:c>
      <x:c r="D10" s="17" t="str">
        <x:v>Post-tesis</x:v>
      </x:c>
      <x:c r="E10" s="17" t="str">
        <x:v>Cumplimiento tributario</x:v>
      </x:c>
      <x:c r="F10" s="17" t="str">
        <x:v>Estudio mercado</x:v>
      </x:c>
      <x:c r="G10" s="17" t="str">
        <x:v>Evaluar proveedor/certificación</x:v>
      </x:c>
      <x:c r="H10" s="17" t="str">
        <x:v>No abrir scope ahora</x:v>
      </x:c>
      <x:c r="I10" s="17" t="str">
        <x:v>Bloqueo comercial</x:v>
      </x:c>
      <x:c r="J10" s="17" t="str">
        <x:v>Fuera alcance</x:v>
      </x:c>
      <x:c r="K10" s="17" t="str">
        <x:v>Brecha de mercado.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18" hidden="0" customWidth="1"/>
    <x:col min="4" max="4" width="34" hidden="0" customWidth="1"/>
    <x:col min="5" max="5" width="50" hidden="0" customWidth="1"/>
    <x:col min="6" max="6" width="30" hidden="0" customWidth="1"/>
    <x:col min="7" max="7" width="14" hidden="0" customWidth="1"/>
    <x:col min="8" max="8" width="22" hidden="0" customWidth="1"/>
    <x:col min="9" max="9" width="44" hidden="0" customWidth="1"/>
    <x:col min="10" max="10" width="22" hidden="0" customWidth="1"/>
  </x:cols>
  <x:sheetData>
    <x:row r="1" ht="28" customHeight="1">
      <x:c r="A1" s="4" t="str">
        <x:v>BRECHAS Y ROADMAP DE INTEGRACIÓN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ID</x:v>
      </x:c>
      <x:c r="B3" s="11" t="str">
        <x:v>Brecha</x:v>
      </x:c>
      <x:c r="C3" s="11" t="str">
        <x:v>Impacto</x:v>
      </x:c>
      <x:c r="D3" s="11" t="str">
        <x:v>Ahora tesis</x:v>
      </x:c>
      <x:c r="E3" s="11" t="str">
        <x:v>Acción sugerida</x:v>
      </x:c>
      <x:c r="F3" s="11" t="str">
        <x:v>Trigger</x:v>
      </x:c>
      <x:c r="G3" s="11" t="str">
        <x:v>Prioridad</x:v>
      </x:c>
      <x:c r="H3" s="11" t="str">
        <x:v>Momento</x:v>
      </x:c>
      <x:c r="I3" s="11" t="str">
        <x:v>Criterio de decisión</x:v>
      </x:c>
      <x:c r="J3" s="11" t="str">
        <x:v>Estado</x:v>
      </x:c>
    </x:row>
    <x:row r="4">
      <x:c r="A4" s="17" t="str">
        <x:v>BR-01</x:v>
      </x:c>
      <x:c r="B4" s="17" t="str">
        <x:v>PostgreSQL real no validado concurrentemente</x:v>
      </x:c>
      <x:c r="C4" s="17" t="str">
        <x:v>Crítico</x:v>
      </x:c>
      <x:c r="D4" s="17" t="str">
        <x:v>No afirmar validación</x:v>
      </x:c>
      <x:c r="E4" s="17" t="str">
        <x:v>Ejecutar TASK-066/TASK-067</x:v>
      </x:c>
      <x:c r="F4" s="17" t="str">
        <x:v>Antes defensa/datos reales</x:v>
      </x:c>
      <x:c r="G4" s="17" t="str">
        <x:v>Crítica</x:v>
      </x:c>
      <x:c r="H4" s="17" t="str">
        <x:v>Sprint 8</x:v>
      </x:c>
      <x:c r="I4" s="17" t="str">
        <x:v>0 duplicidades/inconsistencias</x:v>
      </x:c>
      <x:c r="J4" s="17" t="str">
        <x:v>Pendiente</x:v>
      </x:c>
    </x:row>
    <x:row r="5">
      <x:c r="A5" s="17" t="str">
        <x:v>BR-02</x:v>
      </x:c>
      <x:c r="B5" s="17" t="str">
        <x:v>PWA física/offline no validada en iPhone/Android</x:v>
      </x:c>
      <x:c r="C5" s="17" t="str">
        <x:v>Alta</x:v>
      </x:c>
      <x:c r="D5" s="17" t="str">
        <x:v>Declarar pendiente</x:v>
      </x:c>
      <x:c r="E5" s="17" t="str">
        <x:v>TASK-065</x:v>
      </x:c>
      <x:c r="F5" s="17" t="str">
        <x:v>Antes defensa</x:v>
      </x:c>
      <x:c r="G5" s="17" t="str">
        <x:v>Alta</x:v>
      </x:c>
      <x:c r="H5" s="17" t="str">
        <x:v>Sprint 8</x:v>
      </x:c>
      <x:c r="I5" s="17" t="str">
        <x:v>Flujos críticos en dispositivos</x:v>
      </x:c>
      <x:c r="J5" s="17" t="str">
        <x:v>Pendiente</x:v>
      </x:c>
    </x:row>
    <x:row r="6">
      <x:c r="A6" s="17" t="str">
        <x:v>BR-03</x:v>
      </x:c>
      <x:c r="B6" s="17" t="str">
        <x:v>Correo depende de configuración proveedor</x:v>
      </x:c>
      <x:c r="C6" s="17" t="str">
        <x:v>Alta</x:v>
      </x:c>
      <x:c r="D6" s="17" t="str">
        <x:v>Health muestra estado</x:v>
      </x:c>
      <x:c r="E6" s="17" t="str">
        <x:v>Probar entrega de reset en ambiente final</x:v>
      </x:c>
      <x:c r="F6" s="17" t="str">
        <x:v>Antes demo auth</x:v>
      </x:c>
      <x:c r="G6" s="17" t="str">
        <x:v>Alta</x:v>
      </x:c>
      <x:c r="H6" s="17" t="str">
        <x:v>Sprint 8</x:v>
      </x:c>
      <x:c r="I6" s="17" t="str">
        <x:v>Correo recibido y token usable una vez</x:v>
      </x:c>
      <x:c r="J6" s="17" t="str">
        <x:v>Pendiente ambiente</x:v>
      </x:c>
    </x:row>
    <x:row r="7">
      <x:c r="A7" s="17" t="str">
        <x:v>BR-04</x:v>
      </x:c>
      <x:c r="B7" s="17" t="str">
        <x:v>Cuotas/proveedor IA pueden fallar</x:v>
      </x:c>
      <x:c r="C7" s="17" t="str">
        <x:v>Media/Alta</x:v>
      </x:c>
      <x:c r="D7" s="17" t="str">
        <x:v>Fallback manual</x:v>
      </x:c>
      <x:c r="E7" s="17" t="str">
        <x:v>Monitorear errores y coste; mantener proveedor intercambiable</x:v>
      </x:c>
      <x:c r="F7" s="17" t="str">
        <x:v>Pilotos</x:v>
      </x:c>
      <x:c r="G7" s="17" t="str">
        <x:v>Alta</x:v>
      </x:c>
      <x:c r="H7" s="17" t="str">
        <x:v>Continuo</x:v>
      </x:c>
      <x:c r="I7" s="17" t="str">
        <x:v>POS funciona sin IA</x:v>
      </x:c>
      <x:c r="J7" s="17" t="str">
        <x:v>Controlado</x:v>
      </x:c>
    </x:row>
    <x:row r="8">
      <x:c r="A8" s="17" t="str">
        <x:v>BR-05</x:v>
      </x:c>
      <x:c r="B8" s="17" t="str">
        <x:v>Rate limit IA/login en memoria de proceso</x:v>
      </x:c>
      <x:c r="C8" s="17" t="str">
        <x:v>Media</x:v>
      </x:c>
      <x:c r="D8" s="17" t="str">
        <x:v>Suficiente tesis controlada</x:v>
      </x:c>
      <x:c r="E8" s="17" t="str">
        <x:v>Migrar a store distribuido si escala serverless</x:v>
      </x:c>
      <x:c r="F8" s="17" t="str">
        <x:v>&gt;1 instancia/uso real</x:v>
      </x:c>
      <x:c r="G8" s="17" t="str">
        <x:v>Media</x:v>
      </x:c>
      <x:c r="H8" s="17" t="str">
        <x:v>Post-tesis</x:v>
      </x:c>
      <x:c r="I8" s="17" t="str">
        <x:v>Límite consistente entre instancias</x:v>
      </x:c>
      <x:c r="J8" s="17" t="str">
        <x:v>Roadmap</x:v>
      </x:c>
    </x:row>
    <x:row r="9">
      <x:c r="A9" s="17" t="str">
        <x:v>BR-06</x:v>
      </x:c>
      <x:c r="B9" s="17" t="str">
        <x:v>Pagos Webpay/MP no reales</x:v>
      </x:c>
      <x:c r="C9" s="17" t="str">
        <x:v>Alto comercial</x:v>
      </x:c>
      <x:c r="D9" s="17" t="str">
        <x:v>Mantener simulación explícita</x:v>
      </x:c>
      <x:c r="E9" s="17" t="str">
        <x:v>Integrar SDK/API + webhooks solo post-tesis</x:v>
      </x:c>
      <x:c r="F9" s="17" t="str">
        <x:v>Validación comercial</x:v>
      </x:c>
      <x:c r="G9" s="17" t="str">
        <x:v>Alta</x:v>
      </x:c>
      <x:c r="H9" s="17" t="str">
        <x:v>Post-tesis</x:v>
      </x:c>
      <x:c r="I9" s="17" t="str">
        <x:v>Sandbox real + conciliación</x:v>
      </x:c>
      <x:c r="J9" s="17" t="str">
        <x:v>Fuera alcance</x:v>
      </x:c>
    </x:row>
    <x:row r="10">
      <x:c r="A10" s="17" t="str">
        <x:v>BR-07</x:v>
      </x:c>
      <x:c r="B10" s="17" t="str">
        <x:v>SII/DTE no integrado</x:v>
      </x:c>
      <x:c r="C10" s="17" t="str">
        <x:v>Crítico comercial</x:v>
      </x:c>
      <x:c r="D10" s="17" t="str">
        <x:v>Ticket interno no tributario</x:v>
      </x:c>
      <x:c r="E10" s="17" t="str">
        <x:v>Evaluar proveedor DTE/certificación</x:v>
      </x:c>
      <x:c r="F10" s="17" t="str">
        <x:v>Pilotos exigen boleta integrada</x:v>
      </x:c>
      <x:c r="G10" s="17" t="str">
        <x:v>Alta</x:v>
      </x:c>
      <x:c r="H10" s="17" t="str">
        <x:v>Post-tesis</x:v>
      </x:c>
      <x:c r="I10" s="17" t="str">
        <x:v>Flujo tributario legal validado</x:v>
      </x:c>
      <x:c r="J10" s="17" t="str">
        <x:v>Fuera alcance</x:v>
      </x:c>
    </x:row>
    <x:row r="11">
      <x:c r="A11" s="17" t="str">
        <x:v>BR-08</x:v>
      </x:c>
      <x:c r="B11" s="17" t="str">
        <x:v>Sin observabilidad distribuida de integraciones</x:v>
      </x:c>
      <x:c r="C11" s="17" t="str">
        <x:v>Media</x:v>
      </x:c>
      <x:c r="D11" s="17" t="str">
        <x:v>Logs actuales</x:v>
      </x:c>
      <x:c r="E11" s="17" t="str">
        <x:v>Métricas por proveedor/status/latencia</x:v>
      </x:c>
      <x:c r="F11" s="17" t="str">
        <x:v>Pilotos/producción</x:v>
      </x:c>
      <x:c r="G11" s="17" t="str">
        <x:v>Media</x:v>
      </x:c>
      <x:c r="H11" s="17" t="str">
        <x:v>Post-tesis</x:v>
      </x:c>
      <x:c r="I11" s="17" t="str">
        <x:v>Dashboard SLI/SLO definidos</x:v>
      </x:c>
      <x:c r="J11" s="17" t="str">
        <x:v>Roadmap</x:v>
      </x:c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2" hidden="0" customWidth="1"/>
    <x:col min="4" max="4" width="24" hidden="0" customWidth="1"/>
    <x:col min="5" max="5" width="16" hidden="0" customWidth="1"/>
  </x:cols>
  <x:sheetData>
    <x:row r="1" ht="28" customHeight="1">
      <x:c r="A1" s="4" t="str">
        <x:v>DASHBOARD DOCUMENTAL DE INTEGRACIONES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Métrica</x:v>
      </x:c>
      <x:c r="B3" s="16" t="str">
        <x:v>Valor</x:v>
      </x:c>
      <x:c r="D3" s="11" t="str">
        <x:v>Estado</x:v>
      </x:c>
      <x:c r="E3" s="11" t="str">
        <x:v>Cantidad</x:v>
      </x:c>
    </x:row>
    <x:row r="4">
      <x:c r="A4" s="17" t="str">
        <x:v>Integraciones catalogadas</x:v>
      </x:c>
      <x:c r="B4" s="17" t="n">
        <x:f>COUNTA('01_Matriz_Integraciones'!A4:A15)</x:f>
        <x:v>12</x:v>
      </x:c>
      <x:c r="D4" t="str">
        <x:v>Implementadas</x:v>
      </x:c>
      <x:c r="E4" t="n">
        <x:f>B5</x:f>
        <x:v>9</x:v>
      </x:c>
    </x:row>
    <x:row r="5">
      <x:c r="A5" s="17" t="str">
        <x:v>Implementadas/configurables</x:v>
      </x:c>
      <x:c r="B5" s="17" t="n">
        <x:f>COUNTIF('01_Matriz_Integraciones'!L4:L15,"Implementado")+COUNTIF('01_Matriz_Integraciones'!L4:L15,"Implementado / validar real")+COUNTIF('01_Matriz_Integraciones'!L4:L15,"Implementado configurable")+COUNTIF('01_Matriz_Integraciones'!L4:L15,"Implementado / validar físico")+COUNTIF('01_Matriz_Integraciones'!L4:L15,"Implementado / validar PostgreSQL")</x:f>
        <x:v>9</x:v>
      </x:c>
      <x:c r="D5" t="str">
        <x:v>Simuladas/manuales</x:v>
      </x:c>
      <x:c r="E5" t="n">
        <x:f>B6</x:f>
        <x:v>2</x:v>
      </x:c>
    </x:row>
    <x:row r="6">
      <x:c r="A6" s="17" t="str">
        <x:v>Simuladas/manuales</x:v>
      </x:c>
      <x:c r="B6" s="17" t="n">
        <x:f>COUNTIF('01_Matriz_Integraciones'!L4:L15,"Enlace externo")+COUNTIF('01_Matriz_Integraciones'!L4:L15,"Simulado")+COUNTIF('01_Matriz_Integraciones'!L4:L15,"Simulado/manual")</x:f>
        <x:v>2</x:v>
      </x:c>
      <x:c r="D6" t="str">
        <x:v>Fuera alcance</x:v>
      </x:c>
      <x:c r="E6" t="n">
        <x:f>B7</x:f>
        <x:v>1</x:v>
      </x:c>
    </x:row>
    <x:row r="7">
      <x:c r="A7" s="17" t="str">
        <x:v>Fuera de alcance</x:v>
      </x:c>
      <x:c r="B7" s="17" t="n">
        <x:f>COUNTIF('01_Matriz_Integraciones'!L4:L15,"Fuera de alcance")</x:f>
        <x:v>1</x:v>
      </x:c>
    </x:row>
    <x:row r="8">
      <x:c r="A8" s="17" t="str">
        <x:v>Pruebas de integración diseñadas</x:v>
      </x:c>
      <x:c r="B8" s="17" t="n">
        <x:f>COUNTA('05_Pruebas_Integracion'!A4:A17)</x:f>
        <x:v>14</x:v>
      </x:c>
    </x:row>
    <x:row r="9">
      <x:c r="A9" s="17" t="str">
        <x:v>Pruebas pendientes explícitas</x:v>
      </x:c>
      <x:c r="B9" s="17" t="n">
        <x:f>COUNTIF('05_Pruebas_Integracion'!I4:I17,"Pendiente real")+COUNTIF('05_Pruebas_Integracion'!I4:I17,"Pendiente")+COUNTIF('05_Pruebas_Integracion'!I4:I17,"Pendiente PG real")+COUNTIF('05_Pruebas_Integracion'!I4:I17,"Pendiente formal")</x:f>
        <x:v>4</x:v>
      </x:c>
    </x:row>
    <x:row r="10">
      <x:c r="A10" s="17" t="str">
        <x:v>Integraciones externas reales configurables</x:v>
      </x:c>
      <x:c r="B10" s="17" t="n">
        <x:v>4</x:v>
      </x:c>
    </x:row>
    <x:row r="11">
      <x:c r="A11" s="17" t="str">
        <x:v>Proveedores IA soportados</x:v>
      </x:c>
      <x:c r="B11" s="17" t="n">
        <x:v>2</x:v>
      </x:c>
    </x:row>
    <x:row r="12">
      <x:c r="A12" s="17" t="str">
        <x:v>Nota</x:v>
      </x:c>
      <x:c r="B12" s="17" t="str">
        <x:v>Estado documental; no equivale a disponibilidad de producción.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f802ac6363548ca"/>
</x:worksheet>
</file>