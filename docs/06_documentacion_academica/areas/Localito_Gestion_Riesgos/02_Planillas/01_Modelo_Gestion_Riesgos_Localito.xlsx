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5aac68bfc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calas" sheetId="1" r:id="Re5828812d92b4719"/>
    <x:sheet xmlns:r="http://schemas.openxmlformats.org/officeDocument/2006/relationships" name="01_RBS" sheetId="2" r:id="Rc2d90e5f56144f3c"/>
    <x:sheet xmlns:r="http://schemas.openxmlformats.org/officeDocument/2006/relationships" name="02_Risk_Backlog" sheetId="3" r:id="R5b75ec7b095e4d6c"/>
    <x:sheet xmlns:r="http://schemas.openxmlformats.org/officeDocument/2006/relationships" name="03_Respuesta_Backlog" sheetId="4" r:id="R04138b331bec469c"/>
    <x:sheet xmlns:r="http://schemas.openxmlformats.org/officeDocument/2006/relationships" name="04_Riesgo_por_Sprint" sheetId="5" r:id="R38a824346e074378"/>
    <x:sheet xmlns:r="http://schemas.openxmlformats.org/officeDocument/2006/relationships" name="05_KPI_KRI" sheetId="6" r:id="R4bea08d2490844b8"/>
    <x:sheet xmlns:r="http://schemas.openxmlformats.org/officeDocument/2006/relationships" name="06_Cuantitativo" sheetId="7" r:id="Ra99b36cd33914c98"/>
    <x:sheet xmlns:r="http://schemas.openxmlformats.org/officeDocument/2006/relationships" name="07_Dashboard" sheetId="8" r:id="Rb17abaaf58d7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137f15d9e4856" /><Relationship Type="http://schemas.openxmlformats.org/officeDocument/2006/relationships/theme" Target="/xl/theme/theme1.xml" Id="Rb9307c70d45d407f" /><Relationship Type="http://schemas.openxmlformats.org/officeDocument/2006/relationships/sharedStrings" Target="/xl/sharedStrings.xml" Id="R38ac518694c9476a" /><Relationship Type="http://schemas.openxmlformats.org/officeDocument/2006/relationships/worksheet" Target="/xl/worksheets/sheet1.xml" Id="Re5828812d92b4719" /><Relationship Type="http://schemas.openxmlformats.org/officeDocument/2006/relationships/worksheet" Target="/xl/worksheets/sheet2.xml" Id="Rc2d90e5f56144f3c" /><Relationship Type="http://schemas.openxmlformats.org/officeDocument/2006/relationships/worksheet" Target="/xl/worksheets/sheet3.xml" Id="R5b75ec7b095e4d6c" /><Relationship Type="http://schemas.openxmlformats.org/officeDocument/2006/relationships/worksheet" Target="/xl/worksheets/sheet4.xml" Id="R04138b331bec469c" /><Relationship Type="http://schemas.openxmlformats.org/officeDocument/2006/relationships/worksheet" Target="/xl/worksheets/sheet5.xml" Id="R38a824346e074378" /><Relationship Type="http://schemas.openxmlformats.org/officeDocument/2006/relationships/worksheet" Target="/xl/worksheets/sheet6.xml" Id="R4bea08d2490844b8" /><Relationship Type="http://schemas.openxmlformats.org/officeDocument/2006/relationships/worksheet" Target="/xl/worksheets/sheet7.xml" Id="Ra99b36cd33914c98" /><Relationship Type="http://schemas.openxmlformats.org/officeDocument/2006/relationships/worksheet" Target="/xl/worksheets/sheet8.xml" Id="Rb17abaaf58d74d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a0643846744b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cualitativa del Risk Backlog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'07_Dashboard'!$D$4:$D$6</c:f>
              <c:strCache>
                <c:ptCount val="0"/>
              </c:strCache>
            </c:strRef>
          </c:cat>
          <c:val>
            <c:numRef>
              <c:f>'07_Dashboard'!$E$4:$E$6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a0643846744b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fd5717f00b4b4a1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50" hidden="0" customWidth="1"/>
    <x:col min="6" max="6" width="12" hidden="0" customWidth="1"/>
    <x:col min="7" max="7" width="20" hidden="0" customWidth="1"/>
    <x:col min="8" max="8" width="60" hidden="0" customWidth="1"/>
  </x:cols>
  <x:sheetData>
    <x:row r="1" ht="28" customHeight="1">
      <x:c r="A1" s="4" t="str">
        <x:v>LOCALITO - ESCALAS DE PROBABILIDAD, IMPACTO Y RESPUESTA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Valor</x:v>
      </x:c>
      <x:c r="B3" s="16" t="str">
        <x:v>Probabilidad</x:v>
      </x:c>
      <x:c r="C3" s="16" t="str">
        <x:v>Criterio cualitativo</x:v>
      </x:c>
      <x:c r="D3" s="16" t="str">
        <x:v>Guía de uso</x:v>
      </x:c>
      <x:c r="E3" s="17"/>
      <x:c r="F3" s="16" t="str">
        <x:v>Valor</x:v>
      </x:c>
      <x:c r="G3" s="16" t="str">
        <x:v>Impacto</x:v>
      </x:c>
      <x:c r="H3" s="16" t="str">
        <x:v>Criterio en Localito</x:v>
      </x:c>
    </x:row>
    <x:row r="4">
      <x:c r="A4" s="17" t="n">
        <x:v>1</x:v>
      </x:c>
      <x:c r="B4" s="17" t="str">
        <x:v>Muy baja</x:v>
      </x:c>
      <x:c r="C4" s="17" t="str">
        <x:v>≤10%</x:v>
      </x:c>
      <x:c r="D4" s="17" t="str">
        <x:v>Evento poco probable bajo el estado actual.</x:v>
      </x:c>
      <x:c r="E4" s="17"/>
      <x:c r="F4" s="17" t="n">
        <x:v>1</x:v>
      </x:c>
      <x:c r="G4" s="17" t="str">
        <x:v>Insignificante</x:v>
      </x:c>
      <x:c r="H4" s="17" t="str">
        <x:v>Molestia menor; sin efecto relevante en Sprint Goal, datos o demo.</x:v>
      </x:c>
    </x:row>
    <x:row r="5">
      <x:c r="A5" s="17" t="n">
        <x:v>2</x:v>
      </x:c>
      <x:c r="B5" s="17" t="str">
        <x:v>Baja</x:v>
      </x:c>
      <x:c r="C5" s="17" t="str">
        <x:v>11–30%</x:v>
      </x:c>
      <x:c r="D5" s="17" t="str">
        <x:v>Puede ocurrir, pero existe control preventivo razonable.</x:v>
      </x:c>
      <x:c r="E5" s="17"/>
      <x:c r="F5" s="17" t="n">
        <x:v>2</x:v>
      </x:c>
      <x:c r="G5" s="17" t="str">
        <x:v>Menor</x:v>
      </x:c>
      <x:c r="H5" s="17" t="str">
        <x:v>Retrabajo acotado; no bloquea una función crítica.</x:v>
      </x:c>
    </x:row>
    <x:row r="6">
      <x:c r="A6" s="17" t="n">
        <x:v>3</x:v>
      </x:c>
      <x:c r="B6" s="17" t="str">
        <x:v>Media</x:v>
      </x:c>
      <x:c r="C6" s="17" t="str">
        <x:v>31–50%</x:v>
      </x:c>
      <x:c r="D6" s="17" t="str">
        <x:v>Existe incertidumbre real o evidencia parcial.</x:v>
      </x:c>
      <x:c r="E6" s="17"/>
      <x:c r="F6" s="17" t="n">
        <x:v>3</x:v>
      </x:c>
      <x:c r="G6" s="17" t="str">
        <x:v>Moderado</x:v>
      </x:c>
      <x:c r="H6" s="17" t="str">
        <x:v>Afecta una función importante, evidencia o experiencia; requiere mitigación.</x:v>
      </x:c>
    </x:row>
    <x:row r="7">
      <x:c r="A7" s="17" t="n">
        <x:v>4</x:v>
      </x:c>
      <x:c r="B7" s="17" t="str">
        <x:v>Alta</x:v>
      </x:c>
      <x:c r="C7" s="17" t="str">
        <x:v>51–70%</x:v>
      </x:c>
      <x:c r="D7" s="17" t="str">
        <x:v>Hay señales, dependencia o pendiente que aumenta la posibilidad.</x:v>
      </x:c>
      <x:c r="E7" s="17"/>
      <x:c r="F7" s="17" t="n">
        <x:v>4</x:v>
      </x:c>
      <x:c r="G7" s="17" t="str">
        <x:v>Mayor</x:v>
      </x:c>
      <x:c r="H7" s="17" t="str">
        <x:v>Bloquea incremento, demo, adopción o genera pérdida económica/operacional significativa.</x:v>
      </x:c>
    </x:row>
    <x:row r="8">
      <x:c r="A8" s="17" t="n">
        <x:v>5</x:v>
      </x:c>
      <x:c r="B8" s="17" t="str">
        <x:v>Muy alta</x:v>
      </x:c>
      <x:c r="C8" s="17" t="str">
        <x:v>&gt;70% / condición presente</x:v>
      </x:c>
      <x:c r="D8" s="17" t="str">
        <x:v>El riesgo ya está cerca de materializarse o la condición existe.</x:v>
      </x:c>
      <x:c r="E8" s="17"/>
      <x:c r="F8" s="17" t="n">
        <x:v>5</x:v>
      </x:c>
      <x:c r="G8" s="17" t="str">
        <x:v>Crítico</x:v>
      </x:c>
      <x:c r="H8" s="17" t="str">
        <x:v>Puede comprometer datos, aislamiento multi-tenant, integridad transaccional, seguridad o viabilidad comercial.</x:v>
      </x:c>
    </x:row>
    <x:row r="9">
      <x:c r="A9" s="17"/>
      <x:c r="B9" s="17"/>
      <x:c r="C9" s="17"/>
      <x:c r="D9" s="17"/>
      <x:c r="E9" s="17"/>
      <x:c r="F9" s="17"/>
      <x:c r="G9" s="17"/>
      <x:c r="H9" s="17"/>
    </x:row>
    <x:row r="10">
      <x:c r="A10" s="16" t="str">
        <x:v>Exposición P×I</x:v>
      </x:c>
      <x:c r="B10" s="16" t="str">
        <x:v>Nivel</x:v>
      </x:c>
      <x:c r="C10" s="16" t="str">
        <x:v>Respuesta base</x:v>
      </x:c>
      <x:c r="D10" s="16" t="str">
        <x:v>Tratamiento Agile</x:v>
      </x:c>
      <x:c r="E10" s="17"/>
      <x:c r="F10" s="17"/>
      <x:c r="G10" s="17"/>
      <x:c r="H10" s="17"/>
    </x:row>
    <x:row r="11">
      <x:c r="A11" s="17" t="str">
        <x:v>1–5</x:v>
      </x:c>
      <x:c r="B11" s="17" t="str">
        <x:v>Bajo</x:v>
      </x:c>
      <x:c r="C11" s="17" t="str">
        <x:v>Aceptar / monitorear</x:v>
      </x:c>
      <x:c r="D11" s="17" t="str">
        <x:v>Mantener visible; sin consumir capacidad salvo que cambie la señal.</x:v>
      </x:c>
      <x:c r="E11" s="17"/>
      <x:c r="F11" s="17"/>
      <x:c r="G11" s="17"/>
      <x:c r="H11" s="17"/>
    </x:row>
    <x:row r="12">
      <x:c r="A12" s="17" t="str">
        <x:v>6–12</x:v>
      </x:c>
      <x:c r="B12" s="17" t="str">
        <x:v>Medio</x:v>
      </x:c>
      <x:c r="C12" s="17" t="str">
        <x:v>Mitigar</x:v>
      </x:c>
      <x:c r="D12" s="17" t="str">
        <x:v>Crear PBI/Task/Bug o criterio de aceptación cuando corresponda.</x:v>
      </x:c>
      <x:c r="E12" s="17"/>
      <x:c r="F12" s="17"/>
      <x:c r="G12" s="17"/>
      <x:c r="H12" s="17"/>
    </x:row>
    <x:row r="13">
      <x:c r="A13" s="17" t="str">
        <x:v>15–25</x:v>
      </x:c>
      <x:c r="B13" s="17" t="str">
        <x:v>Alto</x:v>
      </x:c>
      <x:c r="C13" s="17" t="str">
        <x:v>Evitar / reducir / escalar</x:v>
      </x:c>
      <x:c r="D13" s="17" t="str">
        <x:v>Priorizar respuesta en backlog y revisar frecuentemente.</x:v>
      </x:c>
      <x:c r="E13" s="17"/>
      <x:c r="F13" s="17"/>
      <x:c r="G13" s="17"/>
      <x:c r="H13" s="17"/>
    </x:row>
    <x:row r="14">
      <x:c r="A14" s="17" t="str">
        <x:v>Override</x:v>
      </x:c>
      <x:c r="B14" s="17" t="str">
        <x:v>Crítico por tolerancia</x:v>
      </x:c>
      <x:c r="C14" s="17" t="str">
        <x:v>Escalar aunque P×I sea menor</x:v>
      </x:c>
      <x:c r="D14" s="17" t="str">
        <x:v>Seguridad, pérdida de datos y fuga multi-tenant tienen tolerancia muy baja.</x:v>
      </x:c>
      <x:c r="E14" s="17"/>
      <x:c r="F14" s="17"/>
      <x:c r="G14" s="17"/>
      <x:c r="H14" s="1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0" hidden="0" customWidth="1"/>
    <x:col min="4" max="4" width="34" hidden="0" customWidth="1"/>
    <x:col min="5" max="5" width="44" hidden="0" customWidth="1"/>
  </x:cols>
  <x:sheetData>
    <x:row r="1" ht="28" customHeight="1">
      <x:c r="A1" s="4" t="str">
        <x:v>RISK BREAKDOWN STRUCTURE - LOCALITO</x:v>
      </x:c>
      <x:c r="B1" s="4"/>
      <x:c r="C1" s="4"/>
      <x:c r="D1" s="4"/>
      <x:c r="E1" s="4"/>
    </x:row>
    <x:row r="3">
      <x:c r="A3" s="11" t="str">
        <x:v>Nivel 1</x:v>
      </x:c>
      <x:c r="B3" s="11" t="str">
        <x:v>Nivel 2</x:v>
      </x:c>
      <x:c r="C3" s="11" t="str">
        <x:v>Ejemplos Localito</x:v>
      </x:c>
      <x:c r="D3" s="11" t="str">
        <x:v>Fuente de señal</x:v>
      </x:c>
      <x:c r="E3" s="11" t="str">
        <x:v>Uso</x:v>
      </x:c>
    </x:row>
    <x:row r="4">
      <x:c r="A4" s="17" t="str">
        <x:v>Técnicos</x:v>
      </x:c>
      <x:c r="B4" s="17" t="str">
        <x:v>Persistencia</x:v>
      </x:c>
      <x:c r="C4" s="17" t="str">
        <x:v>PostgreSQL, migraciones, concurrencia, idempotencia</x:v>
      </x:c>
      <x:c r="D4" s="17" t="str">
        <x:v>Estado actual / arquitectura</x:v>
      </x:c>
      <x:c r="E4" s="17" t="str">
        <x:v>Prevenir inconsistencias y pérdida de operación</x:v>
      </x:c>
    </x:row>
    <x:row r="5">
      <x:c r="A5" s="17" t="str">
        <x:v>Técnicos</x:v>
      </x:c>
      <x:c r="B5" s="17" t="str">
        <x:v>Offline / sincronización</x:v>
      </x:c>
      <x:c r="C5" s="17" t="str">
        <x:v>Colas, tickets rechazados, diferencias de precio</x:v>
      </x:c>
      <x:c r="D5" s="17" t="str">
        <x:v>Estado actual</x:v>
      </x:c>
      <x:c r="E5" s="17" t="str">
        <x:v>Reducir conflictos al reintentar ventas</x:v>
      </x:c>
    </x:row>
    <x:row r="6">
      <x:c r="A6" s="17" t="str">
        <x:v>Seguridad y datos</x:v>
      </x:c>
      <x:c r="B6" s="17" t="str">
        <x:v>Aislamiento</x:v>
      </x:c>
      <x:c r="C6" s="17" t="str">
        <x:v>Acceso cruzado multi-tenant, rol/plan</x:v>
      </x:c>
      <x:c r="D6" s="17" t="str">
        <x:v>Arquitectura / QA</x:v>
      </x:c>
      <x:c r="E6" s="17" t="str">
        <x:v>Tolerancia casi cero</x:v>
      </x:c>
    </x:row>
    <x:row r="7">
      <x:c r="A7" s="17" t="str">
        <x:v>Seguridad y datos</x:v>
      </x:c>
      <x:c r="B7" s="17" t="str">
        <x:v>Secretos</x:v>
      </x:c>
      <x:c r="C7" s="17" t="str">
        <x:v>Credenciales históricas o claves expuestas</x:v>
      </x:c>
      <x:c r="D7" s="17" t="str">
        <x:v>Estado actual</x:v>
      </x:c>
      <x:c r="E7" s="17" t="str">
        <x:v>Rotación y revisión</x:v>
      </x:c>
    </x:row>
    <x:row r="8">
      <x:c r="A8" s="17" t="str">
        <x:v>Seguridad y datos</x:v>
      </x:c>
      <x:c r="B8" s="17" t="str">
        <x:v>Respaldo</x:v>
      </x:c>
      <x:c r="C8" s="17" t="str">
        <x:v>Restauración no validada antes de datos reales</x:v>
      </x:c>
      <x:c r="D8" s="17" t="str">
        <x:v>Operación</x:v>
      </x:c>
      <x:c r="E8" s="17" t="str">
        <x:v>Preparar recuperación</x:v>
      </x:c>
    </x:row>
    <x:row r="9">
      <x:c r="A9" s="17" t="str">
        <x:v>Operacionales</x:v>
      </x:c>
      <x:c r="B9" s="17" t="str">
        <x:v>Caja</x:v>
      </x:c>
      <x:c r="C9" s="17" t="str">
        <x:v>Cierre concurrente con ventas simultáneas</x:v>
      </x:c>
      <x:c r="D9" s="17" t="str">
        <x:v>Estado actual</x:v>
      </x:c>
      <x:c r="E9" s="17" t="str">
        <x:v>Asegurar consistencia</x:v>
      </x:c>
    </x:row>
    <x:row r="10">
      <x:c r="A10" s="17" t="str">
        <x:v>Operacionales</x:v>
      </x:c>
      <x:c r="B10" s="17" t="str">
        <x:v>Soporte</x:v>
      </x:c>
      <x:c r="C10" s="17" t="str">
        <x:v>Carga de soporte al crecer clientes</x:v>
      </x:c>
      <x:c r="D10" s="17" t="str">
        <x:v>Estudio mercado / modelo financiero</x:v>
      </x:c>
      <x:c r="E10" s="17" t="str">
        <x:v>Escalar operación</x:v>
      </x:c>
    </x:row>
    <x:row r="11">
      <x:c r="A11" s="17" t="str">
        <x:v>Dependencias externas</x:v>
      </x:c>
      <x:c r="B11" s="17" t="str">
        <x:v>IA</x:v>
      </x:c>
      <x:c r="C11" s="17" t="str">
        <x:v>429, caída, cambio de proveedor, costo</x:v>
      </x:c>
      <x:c r="D11" s="17" t="str">
        <x:v>Arquitectura / QA</x:v>
      </x:c>
      <x:c r="E11" s="17" t="str">
        <x:v>Mantener fallback</x:v>
      </x:c>
    </x:row>
    <x:row r="12">
      <x:c r="A12" s="17" t="str">
        <x:v>Dependencias externas</x:v>
      </x:c>
      <x:c r="B12" s="17" t="str">
        <x:v>Cloud / correo</x:v>
      </x:c>
      <x:c r="C12" s="17" t="str">
        <x:v>Vercel, Supabase, correo</x:v>
      </x:c>
      <x:c r="D12" s="17" t="str">
        <x:v>Arquitectura</x:v>
      </x:c>
      <x:c r="E12" s="17" t="str">
        <x:v>Evitar punto único de falla</x:v>
      </x:c>
    </x:row>
    <x:row r="13">
      <x:c r="A13" s="17" t="str">
        <x:v>Producto / calidad</x:v>
      </x:c>
      <x:c r="B13" s="17" t="str">
        <x:v>UX/PWA</x:v>
      </x:c>
      <x:c r="C13" s="17" t="str">
        <x:v>Regresión visual, Safari/iPhone/Android</x:v>
      </x:c>
      <x:c r="D13" s="17" t="str">
        <x:v>Estado actual</x:v>
      </x:c>
      <x:c r="E13" s="17" t="str">
        <x:v>Cerrar evidencia</x:v>
      </x:c>
    </x:row>
    <x:row r="14">
      <x:c r="A14" s="17" t="str">
        <x:v>Producto / calidad</x:v>
      </x:c>
      <x:c r="B14" s="17" t="str">
        <x:v>IA incorrecta</x:v>
      </x:c>
      <x:c r="C14" s="17" t="str">
        <x:v>Sugerencias erróneas o sobreconfianza</x:v>
      </x:c>
      <x:c r="D14" s="17" t="str">
        <x:v>Arquitectura</x:v>
      </x:c>
      <x:c r="E14" s="17" t="str">
        <x:v>Human-in-the-loop</x:v>
      </x:c>
    </x:row>
    <x:row r="15">
      <x:c r="A15" s="17" t="str">
        <x:v>Mercado / negocio</x:v>
      </x:c>
      <x:c r="B15" s="17" t="str">
        <x:v>Adopción</x:v>
      </x:c>
      <x:c r="C15" s="17" t="str">
        <x:v>Pocos clientes, baja conversión o retención</x:v>
      </x:c>
      <x:c r="D15" s="17" t="str">
        <x:v>Estudio mercado / evaluación económica</x:v>
      </x:c>
      <x:c r="E15" s="17" t="str">
        <x:v>Validar negocio</x:v>
      </x:c>
    </x:row>
    <x:row r="16">
      <x:c r="A16" s="17" t="str">
        <x:v>Mercado / negocio</x:v>
      </x:c>
      <x:c r="B16" s="17" t="str">
        <x:v>Precio</x:v>
      </x:c>
      <x:c r="C16" s="17" t="str">
        <x:v>WTP insuficiente para $10k/$20k</x:v>
      </x:c>
      <x:c r="D16" s="17" t="str">
        <x:v>Estudio mercado</x:v>
      </x:c>
      <x:c r="E16" s="17" t="str">
        <x:v>Validar pricing</x:v>
      </x:c>
    </x:row>
    <x:row r="17">
      <x:c r="A17" s="17" t="str">
        <x:v>Mercado / negocio</x:v>
      </x:c>
      <x:c r="B17" s="17" t="str">
        <x:v>Cumplimiento</x:v>
      </x:c>
      <x:c r="C17" s="17" t="str">
        <x:v>DTE/SII fuera de alcance</x:v>
      </x:c>
      <x:c r="D17" s="17" t="str">
        <x:v>Estudio mercado</x:v>
      </x:c>
      <x:c r="E17" s="17" t="str">
        <x:v>Roadmap comercial</x:v>
      </x:c>
    </x:row>
    <x:row r="18">
      <x:c r="A18" s="17" t="str">
        <x:v>Mercado / negocio</x:v>
      </x:c>
      <x:c r="B18" s="17" t="str">
        <x:v>Competencia</x:v>
      </x:c>
      <x:c r="C18" s="17" t="str">
        <x:v>Sustitutos SII, SaaS maduros y nicho</x:v>
      </x:c>
      <x:c r="D18" s="17" t="str">
        <x:v>Estudio mercado</x:v>
      </x:c>
      <x:c r="E18" s="17" t="str">
        <x:v>Refinar diferenciación</x:v>
      </x:c>
    </x:row>
    <x:row r="19">
      <x:c r="A19" s="17" t="str">
        <x:v>Académicos / proyecto</x:v>
      </x:c>
      <x:c r="B19" s="17" t="str">
        <x:v>Validación</x:v>
      </x:c>
      <x:c r="C19" s="17" t="str">
        <x:v>Pocos usuarios externos o evidencia parcial</x:v>
      </x:c>
      <x:c r="D19" s="17" t="str">
        <x:v>Revisión tesis</x:v>
      </x:c>
      <x:c r="E19" s="17" t="str">
        <x:v>Fortalecer defensa</x:v>
      </x:c>
    </x:row>
    <x:row r="20">
      <x:c r="A20" s="17" t="str">
        <x:v>Académicos / proyecto</x:v>
      </x:c>
      <x:c r="B20" s="17" t="str">
        <x:v>Scope creep</x:v>
      </x:c>
      <x:c r="C20" s="17" t="str">
        <x:v>Agregar pagos reales, SII, multi-sucursal antes del cierre</x:v>
      </x:c>
      <x:c r="D20" s="17" t="str">
        <x:v>Alcance tesis</x:v>
      </x:c>
      <x:c r="E20" s="17" t="str">
        <x:v>Proteger Sprint Goals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0" hidden="0" customWidth="1"/>
    <x:col min="4" max="4" width="46" hidden="0" customWidth="1"/>
    <x:col min="5" max="5" width="8" hidden="0" customWidth="1"/>
    <x:col min="6" max="6" width="8" hidden="0" customWidth="1"/>
    <x:col min="7" max="7" width="10" hidden="0" customWidth="1"/>
    <x:col min="8" max="8" width="12" hidden="0" customWidth="1"/>
    <x:col min="9" max="9" width="22" hidden="0" customWidth="1"/>
    <x:col min="10" max="10" width="18" hidden="0" customWidth="1"/>
    <x:col min="11" max="11" width="54" hidden="0" customWidth="1"/>
    <x:col min="12" max="12" width="22" hidden="0" customWidth="1"/>
    <x:col min="13" max="13" width="44" hidden="0" customWidth="1"/>
    <x:col min="14" max="14" width="24" hidden="0" customWidth="1"/>
    <x:col min="15" max="15" width="22" hidden="0" customWidth="1"/>
    <x:col min="16" max="16" width="34" hidden="0" customWidth="1"/>
  </x:cols>
  <x:sheetData>
    <x:row r="1" ht="28" customHeight="1">
      <x:c r="A1" s="4" t="str">
        <x:v>RISK BACKLOG - LOCALITO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1" t="str">
        <x:v>ID</x:v>
      </x:c>
      <x:c r="B3" s="11" t="str">
        <x:v>Categoría</x:v>
      </x:c>
      <x:c r="C3" s="11" t="str">
        <x:v>Riesgo</x:v>
      </x:c>
      <x:c r="D3" s="11" t="str">
        <x:v>Causa / señal actual</x:v>
      </x:c>
      <x:c r="E3" s="11" t="str">
        <x:v>P</x:v>
      </x:c>
      <x:c r="F3" s="11" t="str">
        <x:v>I</x:v>
      </x:c>
      <x:c r="G3" s="11" t="str">
        <x:v>P×I</x:v>
      </x:c>
      <x:c r="H3" s="11" t="str">
        <x:v>Nivel</x:v>
      </x:c>
      <x:c r="I3" s="11" t="str">
        <x:v>Tolerancia</x:v>
      </x:c>
      <x:c r="J3" s="11" t="str">
        <x:v>Respuesta</x:v>
      </x:c>
      <x:c r="K3" s="11" t="str">
        <x:v>Acción / PBI de mitigación</x:v>
      </x:c>
      <x:c r="L3" s="11" t="str">
        <x:v>Owner Scrum</x:v>
      </x:c>
      <x:c r="M3" s="11" t="str">
        <x:v>Trigger / KRI</x:v>
      </x:c>
      <x:c r="N3" s="11" t="str">
        <x:v>Riesgo residual</x:v>
      </x:c>
      <x:c r="O3" s="11" t="str">
        <x:v>Estado</x:v>
      </x:c>
      <x:c r="P3" s="11" t="str">
        <x:v>Evidencia / fuente</x:v>
      </x:c>
    </x:row>
    <x:row r="4">
      <x:c r="A4" s="17" t="str">
        <x:v>R-01</x:v>
      </x:c>
      <x:c r="B4" s="17" t="str">
        <x:v>Seguridad y datos</x:v>
      </x:c>
      <x:c r="C4" s="17" t="str">
        <x:v>Acceso cruzado entre negocios</x:v>
      </x:c>
      <x:c r="D4" s="17" t="str">
        <x:v>Un defecto de consulta o autorización podría omitir filtro de tenant.</x:v>
      </x:c>
      <x:c r="E4" s="17" t="n">
        <x:v>2</x:v>
      </x:c>
      <x:c r="F4" s="17" t="n">
        <x:v>5</x:v>
      </x:c>
      <x:c r="G4" s="17" t="n">
        <x:f>E4*F4</x:f>
        <x:v>10</x:v>
      </x:c>
      <x:c r="H4" s="17" t="str">
        <x:f>IF(G4&lt;=5,"Bajo",IF(G4&lt;=12,"Medio","Alto"))</x:f>
        <x:v>Medio</x:v>
      </x:c>
      <x:c r="I4" s="17" t="str">
        <x:v>Muy baja</x:v>
      </x:c>
      <x:c r="J4" s="17" t="str">
        <x:v>Evitar/mitigar</x:v>
      </x:c>
      <x:c r="K4" s="17" t="str">
        <x:v>Mantener pruebas de aislamiento en API y regresión por tenant.</x:v>
      </x:c>
      <x:c r="L4" s="17" t="str">
        <x:v>Equipo Dev</x:v>
      </x:c>
      <x:c r="M4" s="17" t="str">
        <x:v>Respuesta contiene ID/registro de otro tenant.</x:v>
      </x:c>
      <x:c r="N4" s="17" t="str">
        <x:v>2×5; override crítico</x:v>
      </x:c>
      <x:c r="O4" s="17" t="str">
        <x:v>Abierto / controlado</x:v>
      </x:c>
      <x:c r="P4" s="17" t="str">
        <x:v>Arquitectura + pruebas</x:v>
      </x:c>
    </x:row>
    <x:row r="5">
      <x:c r="A5" s="17" t="str">
        <x:v>R-02</x:v>
      </x:c>
      <x:c r="B5" s="17" t="str">
        <x:v>Seguridad y datos</x:v>
      </x:c>
      <x:c r="C5" s="17" t="str">
        <x:v>Credenciales históricas expuestas</x:v>
      </x:c>
      <x:c r="D5" s="17" t="str">
        <x:v>Existe pendiente explícito de rotar credenciales publicadas anteriormente.</x:v>
      </x:c>
      <x:c r="E5" s="17" t="n">
        <x:v>5</x:v>
      </x:c>
      <x:c r="F5" s="17" t="n">
        <x:v>5</x:v>
      </x:c>
      <x:c r="G5" s="17" t="n">
        <x:f>E5*F5</x:f>
        <x:v>25</x:v>
      </x:c>
      <x:c r="H5" s="17" t="str">
        <x:f>IF(G5&lt;=5,"Bajo",IF(G5&lt;=12,"Medio","Alto"))</x:f>
        <x:v>Alto</x:v>
      </x:c>
      <x:c r="I5" s="17" t="str">
        <x:v>Cero</x:v>
      </x:c>
      <x:c r="J5" s="17" t="str">
        <x:v>Evitar</x:v>
      </x:c>
      <x:c r="K5" s="17" t="str">
        <x:v>Rotar credenciales, revisar despliegue e historial; documentar cierre sin republicar secretos.</x:v>
      </x:c>
      <x:c r="L5" s="17" t="str">
        <x:v>Equipo Dev</x:v>
      </x:c>
      <x:c r="M5" s="17" t="str">
        <x:v>Credencial activa coincide con valor histórico/publicado.</x:v>
      </x:c>
      <x:c r="N5" s="17" t="str">
        <x:v>1×5 tras rotación</x:v>
      </x:c>
      <x:c r="O5" s="17" t="str">
        <x:v>Acción requerida</x:v>
      </x:c>
      <x:c r="P5" s="17" t="str">
        <x:v>Estado actual</x:v>
      </x:c>
    </x:row>
    <x:row r="6">
      <x:c r="A6" s="17" t="str">
        <x:v>R-03</x:v>
      </x:c>
      <x:c r="B6" s="17" t="str">
        <x:v>Técnico</x:v>
      </x:c>
      <x:c r="C6" s="17" t="str">
        <x:v>Idempotencia o concurrencia falla en PostgreSQL real</x:v>
      </x:c>
      <x:c r="D6" s="17" t="str">
        <x:v>Las pruebas integradas previas no cubren PostgreSQL concurrente real.</x:v>
      </x:c>
      <x:c r="E6" s="17" t="n">
        <x:v>3</x:v>
      </x:c>
      <x:c r="F6" s="17" t="n">
        <x:v>5</x:v>
      </x:c>
      <x:c r="G6" s="17" t="n">
        <x:f>E6*F6</x:f>
        <x:v>15</x:v>
      </x:c>
      <x:c r="H6" s="17" t="str">
        <x:f>IF(G6&lt;=5,"Bajo",IF(G6&lt;=12,"Medio","Alto"))</x:f>
        <x:v>Alto</x:v>
      </x:c>
      <x:c r="I6" s="17" t="str">
        <x:v>Baja</x:v>
      </x:c>
      <x:c r="J6" s="17" t="str">
        <x:v>Mitigar</x:v>
      </x:c>
      <x:c r="K6" s="17" t="str">
        <x:v>Ejecutar casos concurrentes e idempotencia en PostgreSQL separado antes de datos reales.</x:v>
      </x:c>
      <x:c r="L6" s="17" t="str">
        <x:v>Equipo Dev</x:v>
      </x:c>
      <x:c r="M6" s="17" t="str">
        <x:v>Duplicidad, stock doble o respuestas inconsistentes bajo reintento.</x:v>
      </x:c>
      <x:c r="N6" s="17" t="str">
        <x:v>2×5</x:v>
      </x:c>
      <x:c r="O6" s="17" t="str">
        <x:v>Pendiente validación</x:v>
      </x:c>
      <x:c r="P6" s="17" t="str">
        <x:v>Estado actual / arquitectura</x:v>
      </x:c>
    </x:row>
    <x:row r="7">
      <x:c r="A7" s="17" t="str">
        <x:v>R-04</x:v>
      </x:c>
      <x:c r="B7" s="17" t="str">
        <x:v>Operacional</x:v>
      </x:c>
      <x:c r="C7" s="17" t="str">
        <x:v>Cierre de caja inconsistente con ventas simultáneas</x:v>
      </x:c>
      <x:c r="D7" s="17" t="str">
        <x:v>Atomicidad de cierre concurrente aún no está verificada.</x:v>
      </x:c>
      <x:c r="E7" s="17" t="n">
        <x:v>3</x:v>
      </x:c>
      <x:c r="F7" s="17" t="n">
        <x:v>4</x:v>
      </x:c>
      <x:c r="G7" s="17" t="n">
        <x:f>E7*F7</x:f>
        <x:v>12</x:v>
      </x:c>
      <x:c r="H7" s="17" t="str">
        <x:f>IF(G7&lt;=5,"Bajo",IF(G7&lt;=12,"Medio","Alto"))</x:f>
        <x:v>Medio</x:v>
      </x:c>
      <x:c r="I7" s="17" t="str">
        <x:v>Baja</x:v>
      </x:c>
      <x:c r="J7" s="17" t="str">
        <x:v>Mitigar</x:v>
      </x:c>
      <x:c r="K7" s="17" t="str">
        <x:v>Diseñar prueba transaccional de cierre mientras ingresan ventas.</x:v>
      </x:c>
      <x:c r="L7" s="17" t="str">
        <x:v>Equipo Dev/QA</x:v>
      </x:c>
      <x:c r="M7" s="17" t="str">
        <x:v>Esperado de caja difiere según orden de concurrencia.</x:v>
      </x:c>
      <x:c r="N7" s="17" t="str">
        <x:v>2×4</x:v>
      </x:c>
      <x:c r="O7" s="17" t="str">
        <x:v>Pendiente validación</x:v>
      </x:c>
      <x:c r="P7" s="17" t="str">
        <x:v>Estado actual</x:v>
      </x:c>
    </x:row>
    <x:row r="8">
      <x:c r="A8" s="17" t="str">
        <x:v>R-05</x:v>
      </x:c>
      <x:c r="B8" s="17" t="str">
        <x:v>Producto/calidad</x:v>
      </x:c>
      <x:c r="C8" s="17" t="str">
        <x:v>Fallo o incompatibilidad en PWA física</x:v>
      </x:c>
      <x:c r="D8" s="17" t="str">
        <x:v>Capturas son de Chromium; falta Safari/iPhone/Android físicos.</x:v>
      </x:c>
      <x:c r="E8" s="17" t="n">
        <x:v>3</x:v>
      </x:c>
      <x:c r="F8" s="17" t="n">
        <x:v>3</x:v>
      </x:c>
      <x:c r="G8" s="17" t="n">
        <x:f>E8*F8</x:f>
        <x:v>9</x:v>
      </x:c>
      <x:c r="H8" s="17" t="str">
        <x:f>IF(G8&lt;=5,"Bajo",IF(G8&lt;=12,"Medio","Alto"))</x:f>
        <x:v>Medio</x:v>
      </x:c>
      <x:c r="I8" s="17" t="str">
        <x:v>Media</x:v>
      </x:c>
      <x:c r="J8" s="17" t="str">
        <x:v>Mitigar</x:v>
      </x:c>
      <x:c r="K8" s="17" t="str">
        <x:v>Probar instalación, cámara, teclado, navegación y cola offline en equipos físicos.</x:v>
      </x:c>
      <x:c r="L8" s="17" t="str">
        <x:v>Equipo QA</x:v>
      </x:c>
      <x:c r="M8" s="17" t="str">
        <x:v>Flujo crítico falla en dispositivo real.</x:v>
      </x:c>
      <x:c r="N8" s="17" t="str">
        <x:v>2×3</x:v>
      </x:c>
      <x:c r="O8" s="17" t="str">
        <x:v>Pendiente validación</x:v>
      </x:c>
      <x:c r="P8" s="17" t="str">
        <x:v>Estado actual</x:v>
      </x:c>
    </x:row>
    <x:row r="9">
      <x:c r="A9" s="17" t="str">
        <x:v>R-06</x:v>
      </x:c>
      <x:c r="B9" s="17" t="str">
        <x:v>Técnico</x:v>
      </x:c>
      <x:c r="C9" s="17" t="str">
        <x:v>Diferencia de precio en venta offline al sincronizar</x:v>
      </x:c>
      <x:c r="D9" s="17" t="str">
        <x:v>Servidor usa precio vigente; no existe política comercial congelada.</x:v>
      </x:c>
      <x:c r="E9" s="17" t="n">
        <x:v>4</x:v>
      </x:c>
      <x:c r="F9" s="17" t="n">
        <x:v>3</x:v>
      </x:c>
      <x:c r="G9" s="17" t="n">
        <x:f>E9*F9</x:f>
        <x:v>12</x:v>
      </x:c>
      <x:c r="H9" s="17" t="str">
        <x:f>IF(G9&lt;=5,"Bajo",IF(G9&lt;=12,"Medio","Alto"))</x:f>
        <x:v>Medio</x:v>
      </x:c>
      <x:c r="I9" s="17" t="str">
        <x:v>Media</x:v>
      </x:c>
      <x:c r="J9" s="17" t="str">
        <x:v>Mitigar/aceptar</x:v>
      </x:c>
      <x:c r="K9" s="17" t="str">
        <x:v>Definir política de discrepancia de precio y mensaje al usuario.</x:v>
      </x:c>
      <x:c r="L9" s="17" t="str">
        <x:v>PO + Dev</x:v>
      </x:c>
      <x:c r="M9" s="17" t="str">
        <x:v>Precio actual difiere del precio visto al crear ticket offline.</x:v>
      </x:c>
      <x:c r="N9" s="17" t="str">
        <x:v>2×3</x:v>
      </x:c>
      <x:c r="O9" s="17" t="str">
        <x:v>Abierto</x:v>
      </x:c>
      <x:c r="P9" s="17" t="str">
        <x:v>Estado actual</x:v>
      </x:c>
    </x:row>
    <x:row r="10">
      <x:c r="A10" s="17" t="str">
        <x:v>R-07</x:v>
      </x:c>
      <x:c r="B10" s="17" t="str">
        <x:v>Dependencia externa</x:v>
      </x:c>
      <x:c r="C10" s="17" t="str">
        <x:v>Proveedor IA sin cuota o caído</x:v>
      </x:c>
      <x:c r="D10" s="17" t="str">
        <x:v>Venta Rápida y factura asistida dependen de proveedor externo.</x:v>
      </x:c>
      <x:c r="E10" s="17" t="n">
        <x:v>3</x:v>
      </x:c>
      <x:c r="F10" s="17" t="n">
        <x:v>3</x:v>
      </x:c>
      <x:c r="G10" s="17" t="n">
        <x:f>E10*F10</x:f>
        <x:v>9</x:v>
      </x:c>
      <x:c r="H10" s="17" t="str">
        <x:f>IF(G10&lt;=5,"Bajo",IF(G10&lt;=12,"Medio","Alto"))</x:f>
        <x:v>Medio</x:v>
      </x:c>
      <x:c r="I10" s="17" t="str">
        <x:v>Media</x:v>
      </x:c>
      <x:c r="J10" s="17" t="str">
        <x:v>Mitigar</x:v>
      </x:c>
      <x:c r="K10" s="17" t="str">
        <x:v>Conservar búsqueda/código de barras, errores claros y proveedor configurable.</x:v>
      </x:c>
      <x:c r="L10" s="17" t="str">
        <x:v>Dev</x:v>
      </x:c>
      <x:c r="M10" s="17" t="str">
        <x:v>HTTP 429/5xx o latencia sostenida.</x:v>
      </x:c>
      <x:c r="N10" s="17" t="str">
        <x:v>2×2</x:v>
      </x:c>
      <x:c r="O10" s="17" t="str">
        <x:v>Controlado</x:v>
      </x:c>
      <x:c r="P10" s="17" t="str">
        <x:v>Arquitectura / QA</x:v>
      </x:c>
    </x:row>
    <x:row r="11">
      <x:c r="A11" s="17" t="str">
        <x:v>R-08</x:v>
      </x:c>
      <x:c r="B11" s="17" t="str">
        <x:v>Producto/calidad</x:v>
      </x:c>
      <x:c r="C11" s="17" t="str">
        <x:v>IA propone productos o cantidades incorrectas</x:v>
      </x:c>
      <x:c r="D11" s="17" t="str">
        <x:v>La inferencia visual no es fuente de verdad.</x:v>
      </x:c>
      <x:c r="E11" s="17" t="n">
        <x:v>3</x:v>
      </x:c>
      <x:c r="F11" s="17" t="n">
        <x:v>3</x:v>
      </x:c>
      <x:c r="G11" s="17" t="n">
        <x:f>E11*F11</x:f>
        <x:v>9</x:v>
      </x:c>
      <x:c r="H11" s="17" t="str">
        <x:f>IF(G11&lt;=5,"Bajo",IF(G11&lt;=12,"Medio","Alto"))</x:f>
        <x:v>Medio</x:v>
      </x:c>
      <x:c r="I11" s="17" t="str">
        <x:v>Baja</x:v>
      </x:c>
      <x:c r="J11" s="17" t="str">
        <x:v>Mitigar</x:v>
      </x:c>
      <x:c r="K11" s="17" t="str">
        <x:v>Mantener catálogo acotado, validación de IDs y confirmación humana obligatoria.</x:v>
      </x:c>
      <x:c r="L11" s="17" t="str">
        <x:v>Dev/QA</x:v>
      </x:c>
      <x:c r="M11" s="17" t="str">
        <x:v>Alta tasa de corrección o sugerencias inválidas.</x:v>
      </x:c>
      <x:c r="N11" s="17" t="str">
        <x:v>2×2</x:v>
      </x:c>
      <x:c r="O11" s="17" t="str">
        <x:v>Controlado</x:v>
      </x:c>
      <x:c r="P11" s="17" t="str">
        <x:v>Arquitectura</x:v>
      </x:c>
    </x:row>
    <x:row r="12">
      <x:c r="A12" s="17" t="str">
        <x:v>R-09</x:v>
      </x:c>
      <x:c r="B12" s="17" t="str">
        <x:v>Técnico</x:v>
      </x:c>
      <x:c r="C12" s="17" t="str">
        <x:v>Imágenes inline degradan almacenamiento/rendimiento</x:v>
      </x:c>
      <x:c r="D12" s="17" t="str">
        <x:v>Actualmente imagen_url puede contener imagen inline; almacenamiento de objetos queda pendiente si escala.</x:v>
      </x:c>
      <x:c r="E12" s="17" t="n">
        <x:v>3</x:v>
      </x:c>
      <x:c r="F12" s="17" t="n">
        <x:v>2</x:v>
      </x:c>
      <x:c r="G12" s="17" t="n">
        <x:f>E12*F12</x:f>
        <x:v>6</x:v>
      </x:c>
      <x:c r="H12" s="17" t="str">
        <x:f>IF(G12&lt;=5,"Bajo",IF(G12&lt;=12,"Medio","Alto"))</x:f>
        <x:v>Medio</x:v>
      </x:c>
      <x:c r="I12" s="17" t="str">
        <x:v>Media</x:v>
      </x:c>
      <x:c r="J12" s="17" t="str">
        <x:v>Aceptar/mitigar</x:v>
      </x:c>
      <x:c r="K12" s="17" t="str">
        <x:v>Definir umbral de catálogo y migración a object storage si el volumen lo exige.</x:v>
      </x:c>
      <x:c r="L12" s="17" t="str">
        <x:v>Dev</x:v>
      </x:c>
      <x:c r="M12" s="17" t="str">
        <x:v>Tamaño de BD o respuesta de catálogo crece sobre umbral definido.</x:v>
      </x:c>
      <x:c r="N12" s="17" t="str">
        <x:v>2×2</x:v>
      </x:c>
      <x:c r="O12" s="17" t="str">
        <x:v>Monitorear</x:v>
      </x:c>
      <x:c r="P12" s="17" t="str">
        <x:v>Estado actual</x:v>
      </x:c>
    </x:row>
    <x:row r="13">
      <x:c r="A13" s="17" t="str">
        <x:v>R-10</x:v>
      </x:c>
      <x:c r="B13" s="17" t="str">
        <x:v>Mercado</x:v>
      </x:c>
      <x:c r="C13" s="17" t="str">
        <x:v>Falta de DTE/SII bloquea compra de comercios</x:v>
      </x:c>
      <x:c r="D13" s="17" t="str">
        <x:v>Competidores relevantes ya integran DTE; Localito lo excluye de tesis.</x:v>
      </x:c>
      <x:c r="E13" s="17" t="n">
        <x:v>5</x:v>
      </x:c>
      <x:c r="F13" s="17" t="n">
        <x:v>5</x:v>
      </x:c>
      <x:c r="G13" s="17" t="n">
        <x:f>E13*F13</x:f>
        <x:v>25</x:v>
      </x:c>
      <x:c r="H13" s="17" t="str">
        <x:f>IF(G13&lt;=5,"Bajo",IF(G13&lt;=12,"Medio","Alto"))</x:f>
        <x:v>Alto</x:v>
      </x:c>
      <x:c r="I13" s="17" t="str">
        <x:v>Alta en negocio / aceptada en tesis</x:v>
      </x:c>
      <x:c r="J13" s="17" t="str">
        <x:v>Aceptar en tesis / roadmap</x:v>
      </x:c>
      <x:c r="K13" s="17" t="str">
        <x:v>Mantener límite explícito; medir % de pilotos que exige DTE; diseñar integración posterior.</x:v>
      </x:c>
      <x:c r="L13" s="17" t="str">
        <x:v>PO</x:v>
      </x:c>
      <x:c r="M13" s="17" t="str">
        <x:v>Usuario rechaza piloto o compra por ausencia de boleta integrada.</x:v>
      </x:c>
      <x:c r="N13" s="17" t="str">
        <x:v>4×5 hasta roadmap</x:v>
      </x:c>
      <x:c r="O13" s="17" t="str">
        <x:v>Aceptado como alcance</x:v>
      </x:c>
      <x:c r="P13" s="17" t="str">
        <x:v>Estudio mercado</x:v>
      </x:c>
    </x:row>
    <x:row r="14">
      <x:c r="A14" s="17" t="str">
        <x:v>R-11</x:v>
      </x:c>
      <x:c r="B14" s="17" t="str">
        <x:v>Mercado</x:v>
      </x:c>
      <x:c r="C14" s="17" t="str">
        <x:v>Precio Pro no demuestra suficiente valor</x:v>
      </x:c>
      <x:c r="D14" s="17" t="str">
        <x:v>$20.000 compite con alternativas cercanas que ya incluyen DTE.</x:v>
      </x:c>
      <x:c r="E14" s="17" t="n">
        <x:v>4</x:v>
      </x:c>
      <x:c r="F14" s="17" t="n">
        <x:v>4</x:v>
      </x:c>
      <x:c r="G14" s="17" t="n">
        <x:f>E14*F14</x:f>
        <x:v>16</x:v>
      </x:c>
      <x:c r="H14" s="17" t="str">
        <x:f>IF(G14&lt;=5,"Bajo",IF(G14&lt;=12,"Medio","Alto"))</x:f>
        <x:v>Alto</x:v>
      </x:c>
      <x:c r="I14" s="17" t="str">
        <x:v>Media</x:v>
      </x:c>
      <x:c r="J14" s="17" t="str">
        <x:v>Mitigar</x:v>
      </x:c>
      <x:c r="K14" s="17" t="str">
        <x:v>Medir disposición a pagar, uso de IA y preferencia Básico/Pro antes de congelar tarifa.</x:v>
      </x:c>
      <x:c r="L14" s="17" t="str">
        <x:v>PO</x:v>
      </x:c>
      <x:c r="M14" s="17" t="str">
        <x:v>Baja conversión Pro o WTP bajo $20.000.</x:v>
      </x:c>
      <x:c r="N14" s="17" t="str">
        <x:v>3×4</x:v>
      </x:c>
      <x:c r="O14" s="17" t="str">
        <x:v>Hipótesis abierta</x:v>
      </x:c>
      <x:c r="P14" s="17" t="str">
        <x:v>Estudio mercado</x:v>
      </x:c>
    </x:row>
    <x:row r="15">
      <x:c r="A15" s="17" t="str">
        <x:v>R-12</x:v>
      </x:c>
      <x:c r="B15" s="17" t="str">
        <x:v>Mercado</x:v>
      </x:c>
      <x:c r="C15" s="17" t="str">
        <x:v>Adopción/retención insuficiente</x:v>
      </x:c>
      <x:c r="D15" s="17" t="str">
        <x:v>Modelo financiero depende de clientes pagados y permanencia.</x:v>
      </x:c>
      <x:c r="E15" s="17" t="n">
        <x:v>4</x:v>
      </x:c>
      <x:c r="F15" s="17" t="n">
        <x:v>5</x:v>
      </x:c>
      <x:c r="G15" s="17" t="n">
        <x:f>E15*F15</x:f>
        <x:v>20</x:v>
      </x:c>
      <x:c r="H15" s="17" t="str">
        <x:f>IF(G15&lt;=5,"Bajo",IF(G15&lt;=12,"Medio","Alto"))</x:f>
        <x:v>Alto</x:v>
      </x:c>
      <x:c r="I15" s="17" t="str">
        <x:v>Baja</x:v>
      </x:c>
      <x:c r="J15" s="17" t="str">
        <x:v>Mitigar</x:v>
      </x:c>
      <x:c r="K15" s="17" t="str">
        <x:v>Pilotos reales; medir activación, conversión trial→pago y retención.</x:v>
      </x:c>
      <x:c r="L15" s="17" t="str">
        <x:v>PO</x:v>
      </x:c>
      <x:c r="M15" s="17" t="str">
        <x:v>Conversión/retención debajo de umbral definido tras pilotos.</x:v>
      </x:c>
      <x:c r="N15" s="17" t="str">
        <x:v>3×5</x:v>
      </x:c>
      <x:c r="O15" s="17" t="str">
        <x:v>Crítico de negocio</x:v>
      </x:c>
      <x:c r="P15" s="17" t="str">
        <x:v>Evaluación económica / mercado</x:v>
      </x:c>
    </x:row>
    <x:row r="16">
      <x:c r="A16" s="17" t="str">
        <x:v>R-13</x:v>
      </x:c>
      <x:c r="B16" s="17" t="str">
        <x:v>Mercado</x:v>
      </x:c>
      <x:c r="C16" s="17" t="str">
        <x:v>Competidores/sustitutos reducen adquisición</x:v>
      </x:c>
      <x:c r="D16" s="17" t="str">
        <x:v>SII gratuito y SaaS de nicho reducen diferenciación y WTP.</x:v>
      </x:c>
      <x:c r="E16" s="17" t="n">
        <x:v>4</x:v>
      </x:c>
      <x:c r="F16" s="17" t="n">
        <x:v>4</x:v>
      </x:c>
      <x:c r="G16" s="17" t="n">
        <x:f>E16*F16</x:f>
        <x:v>16</x:v>
      </x:c>
      <x:c r="H16" s="17" t="str">
        <x:f>IF(G16&lt;=5,"Bajo",IF(G16&lt;=12,"Medio","Alto"))</x:f>
        <x:v>Alto</x:v>
      </x:c>
      <x:c r="I16" s="17" t="str">
        <x:v>Media</x:v>
      </x:c>
      <x:c r="J16" s="17" t="str">
        <x:v>Mitigar</x:v>
      </x:c>
      <x:c r="K16" s="17" t="str">
        <x:v>Enfocar segmento y medir Venta Rápida/fiado/UX contra alternativas.</x:v>
      </x:c>
      <x:c r="L16" s="17" t="str">
        <x:v>PO</x:v>
      </x:c>
      <x:c r="M16" s="17" t="str">
        <x:v>Feedback: 'ya resuelvo esto con X' o CAC sube.</x:v>
      </x:c>
      <x:c r="N16" s="17" t="str">
        <x:v>3×3</x:v>
      </x:c>
      <x:c r="O16" s="17" t="str">
        <x:v>Abierto</x:v>
      </x:c>
      <x:c r="P16" s="17" t="str">
        <x:v>Estudio mercado</x:v>
      </x:c>
    </x:row>
    <x:row r="17">
      <x:c r="A17" s="17" t="str">
        <x:v>R-14</x:v>
      </x:c>
      <x:c r="B17" s="17" t="str">
        <x:v>Académico</x:v>
      </x:c>
      <x:c r="C17" s="17" t="str">
        <x:v>Validación con usuarios externos insuficiente</x:v>
      </x:c>
      <x:c r="D17" s="17" t="str">
        <x:v>La evidencia técnica no reemplaza validación con comerciantes.</x:v>
      </x:c>
      <x:c r="E17" s="17" t="n">
        <x:v>4</x:v>
      </x:c>
      <x:c r="F17" s="17" t="n">
        <x:v>5</x:v>
      </x:c>
      <x:c r="G17" s="17" t="n">
        <x:f>E17*F17</x:f>
        <x:v>20</x:v>
      </x:c>
      <x:c r="H17" s="17" t="str">
        <x:f>IF(G17&lt;=5,"Bajo",IF(G17&lt;=12,"Medio","Alto"))</x:f>
        <x:v>Alto</x:v>
      </x:c>
      <x:c r="I17" s="17" t="str">
        <x:v>Baja</x:v>
      </x:c>
      <x:c r="J17" s="17" t="str">
        <x:v>Mitigar</x:v>
      </x:c>
      <x:c r="K17" s="17" t="str">
        <x:v>Ejecutar pruebas exploratorias con usuarios representativos y métricas definidas.</x:v>
      </x:c>
      <x:c r="L17" s="17" t="str">
        <x:v>Equipo</x:v>
      </x:c>
      <x:c r="M17" s="17" t="str">
        <x:v>Defensa se apoya solo en pruebas del desarrollador.</x:v>
      </x:c>
      <x:c r="N17" s="17" t="str">
        <x:v>2×4</x:v>
      </x:c>
      <x:c r="O17" s="17" t="str">
        <x:v>Pendiente</x:v>
      </x:c>
      <x:c r="P17" s="17" t="str">
        <x:v>Revisión tesis</x:v>
      </x:c>
    </x:row>
    <x:row r="18">
      <x:c r="A18" s="17" t="str">
        <x:v>R-15</x:v>
      </x:c>
      <x:c r="B18" s="17" t="str">
        <x:v>Producto/calidad</x:v>
      </x:c>
      <x:c r="C18" s="17" t="str">
        <x:v>Regresión visual post-rediseño incompleta</x:v>
      </x:c>
      <x:c r="D18" s="17" t="str">
        <x:v>Suites de navegador son anteriores al último rediseño.</x:v>
      </x:c>
      <x:c r="E18" s="17" t="n">
        <x:v>4</x:v>
      </x:c>
      <x:c r="F18" s="17" t="n">
        <x:v>3</x:v>
      </x:c>
      <x:c r="G18" s="17" t="n">
        <x:f>E18*F18</x:f>
        <x:v>12</x:v>
      </x:c>
      <x:c r="H18" s="17" t="str">
        <x:f>IF(G18&lt;=5,"Bajo",IF(G18&lt;=12,"Medio","Alto"))</x:f>
        <x:v>Medio</x:v>
      </x:c>
      <x:c r="I18" s="17" t="str">
        <x:v>Media</x:v>
      </x:c>
      <x:c r="J18" s="17" t="str">
        <x:v>Mitigar</x:v>
      </x:c>
      <x:c r="K18" s="17" t="str">
        <x:v>Completar matriz visual en tamaños/temas/teclado/formularios.</x:v>
      </x:c>
      <x:c r="L18" s="17" t="str">
        <x:v>QA</x:v>
      </x:c>
      <x:c r="M18" s="17" t="str">
        <x:v>Defecto visual en flujo de demo o viewport objetivo.</x:v>
      </x:c>
      <x:c r="N18" s="17" t="str">
        <x:v>1×3 tras cierre</x:v>
      </x:c>
      <x:c r="O18" s="17" t="str">
        <x:v>Pendiente</x:v>
      </x:c>
      <x:c r="P18" s="17" t="str">
        <x:v>Estado actual</x:v>
      </x:c>
    </x:row>
    <x:row r="19">
      <x:c r="A19" s="17" t="str">
        <x:v>R-16</x:v>
      </x:c>
      <x:c r="B19" s="17" t="str">
        <x:v>Académico</x:v>
      </x:c>
      <x:c r="C19" s="17" t="str">
        <x:v>Scope creep antes del cierre</x:v>
      </x:c>
      <x:c r="D19" s="17" t="str">
        <x:v>DTE, pagos reales, multi-sucursal y otros ítems podrían desplazar validación crítica.</x:v>
      </x:c>
      <x:c r="E19" s="17" t="n">
        <x:v>3</x:v>
      </x:c>
      <x:c r="F19" s="17" t="n">
        <x:v>4</x:v>
      </x:c>
      <x:c r="G19" s="17" t="n">
        <x:f>E19*F19</x:f>
        <x:v>12</x:v>
      </x:c>
      <x:c r="H19" s="17" t="str">
        <x:f>IF(G19&lt;=5,"Bajo",IF(G19&lt;=12,"Medio","Alto"))</x:f>
        <x:v>Medio</x:v>
      </x:c>
      <x:c r="I19" s="17" t="str">
        <x:v>Baja</x:v>
      </x:c>
      <x:c r="J19" s="17" t="str">
        <x:v>Evitar</x:v>
      </x:c>
      <x:c r="K19" s="17" t="str">
        <x:v>Mantener alcance de tesis congelado; nuevos ítems van a roadmap/backlog posterior.</x:v>
      </x:c>
      <x:c r="L19" s="17" t="str">
        <x:v>PO / Scrum Team</x:v>
      </x:c>
      <x:c r="M19" s="17" t="str">
        <x:v>PBI fuera de alcance entra a Sprint sin justificar Product Goal.</x:v>
      </x:c>
      <x:c r="N19" s="17" t="str">
        <x:v>1×3</x:v>
      </x:c>
      <x:c r="O19" s="17" t="str">
        <x:v>Controlado</x:v>
      </x:c>
      <x:c r="P19" s="17" t="str">
        <x:v>Alcance tesis</x:v>
      </x:c>
    </x:row>
    <x:row r="20">
      <x:c r="A20" s="17" t="str">
        <x:v>R-17</x:v>
      </x:c>
      <x:c r="B20" s="17" t="str">
        <x:v>Dependencia externa</x:v>
      </x:c>
      <x:c r="C20" s="17" t="str">
        <x:v>Costos/cuotas de servicios crecen</x:v>
      </x:c>
      <x:c r="D20" s="17" t="str">
        <x:v>IA, correo, hosting y BD pueden cambiar consumo o precio.</x:v>
      </x:c>
      <x:c r="E20" s="17" t="n">
        <x:v>3</x:v>
      </x:c>
      <x:c r="F20" s="17" t="n">
        <x:v>3</x:v>
      </x:c>
      <x:c r="G20" s="17" t="n">
        <x:f>E20*F20</x:f>
        <x:v>9</x:v>
      </x:c>
      <x:c r="H20" s="17" t="str">
        <x:f>IF(G20&lt;=5,"Bajo",IF(G20&lt;=12,"Medio","Alto"))</x:f>
        <x:v>Medio</x:v>
      </x:c>
      <x:c r="I20" s="17" t="str">
        <x:v>Media</x:v>
      </x:c>
      <x:c r="J20" s="17" t="str">
        <x:v>Mitigar</x:v>
      </x:c>
      <x:c r="K20" s="17" t="str">
        <x:v>Monitorear consumo; límites; fallback; actualizar modelo financiero con datos reales.</x:v>
      </x:c>
      <x:c r="L20" s="17" t="str">
        <x:v>PO + Dev</x:v>
      </x:c>
      <x:c r="M20" s="17" t="str">
        <x:v>Costo por cliente supera supuesto de $2.000/mes.</x:v>
      </x:c>
      <x:c r="N20" s="17" t="str">
        <x:v>2×3</x:v>
      </x:c>
      <x:c r="O20" s="17" t="str">
        <x:v>Monitorear</x:v>
      </x:c>
      <x:c r="P20" s="17" t="str">
        <x:v>Modelo financiero</x:v>
      </x:c>
    </x:row>
    <x:row r="21">
      <x:c r="A21" s="17" t="str">
        <x:v>R-18</x:v>
      </x:c>
      <x:c r="B21" s="17" t="str">
        <x:v>Dependencia externa</x:v>
      </x:c>
      <x:c r="C21" s="17" t="str">
        <x:v>Indisponibilidad cloud afecta demo/operación</x:v>
      </x:c>
      <x:c r="D21" s="17" t="str">
        <x:v>Vercel/Supabase/correo son dependencias externas.</x:v>
      </x:c>
      <x:c r="E21" s="17" t="n">
        <x:v>2</x:v>
      </x:c>
      <x:c r="F21" s="17" t="n">
        <x:v>4</x:v>
      </x:c>
      <x:c r="G21" s="17" t="n">
        <x:f>E21*F21</x:f>
        <x:v>8</x:v>
      </x:c>
      <x:c r="H21" s="17" t="str">
        <x:f>IF(G21&lt;=5,"Bajo",IF(G21&lt;=12,"Medio","Alto"))</x:f>
        <x:v>Medio</x:v>
      </x:c>
      <x:c r="I21" s="17" t="str">
        <x:v>Media</x:v>
      </x:c>
      <x:c r="J21" s="17" t="str">
        <x:v>Mitigar</x:v>
      </x:c>
      <x:c r="K21" s="17" t="str">
        <x:v>Checklist de demo, datos de respaldo, health checks y plan de contingencia.</x:v>
      </x:c>
      <x:c r="L21" s="17" t="str">
        <x:v>Dev</x:v>
      </x:c>
      <x:c r="M21" s="17" t="str">
        <x:v>Proveedor reporta incidente o health falla antes de demo.</x:v>
      </x:c>
      <x:c r="N21" s="17" t="str">
        <x:v>2×3</x:v>
      </x:c>
      <x:c r="O21" s="17" t="str">
        <x:v>Controlado</x:v>
      </x:c>
      <x:c r="P21" s="17" t="str">
        <x:v>Arquitectura / operación</x:v>
      </x:c>
    </x:row>
    <x:row r="22">
      <x:c r="A22" s="17" t="str">
        <x:v>R-19</x:v>
      </x:c>
      <x:c r="B22" s="17" t="str">
        <x:v>Seguridad y datos</x:v>
      </x:c>
      <x:c r="C22" s="17" t="str">
        <x:v>Restauración de respaldo no validada antes de datos reales</x:v>
      </x:c>
      <x:c r="D22" s="17" t="str">
        <x:v>La documentación exige restaurar respaldo antes de habilitar datos reales.</x:v>
      </x:c>
      <x:c r="E22" s="17" t="n">
        <x:v>3</x:v>
      </x:c>
      <x:c r="F22" s="17" t="n">
        <x:v>5</x:v>
      </x:c>
      <x:c r="G22" s="17" t="n">
        <x:f>E22*F22</x:f>
        <x:v>15</x:v>
      </x:c>
      <x:c r="H22" s="17" t="str">
        <x:f>IF(G22&lt;=5,"Bajo",IF(G22&lt;=12,"Medio","Alto"))</x:f>
        <x:v>Alto</x:v>
      </x:c>
      <x:c r="I22" s="17" t="str">
        <x:v>Cero</x:v>
      </x:c>
      <x:c r="J22" s="17" t="str">
        <x:v>Evitar</x:v>
      </x:c>
      <x:c r="K22" s="17" t="str">
        <x:v>Ejecutar backup/restore en ambiente aislado y registrar evidencia.</x:v>
      </x:c>
      <x:c r="L22" s="17" t="str">
        <x:v>Dev/QA</x:v>
      </x:c>
      <x:c r="M22" s="17" t="str">
        <x:v>No se puede restaurar snapshot de prueba íntegramente.</x:v>
      </x:c>
      <x:c r="N22" s="17" t="str">
        <x:v>1×5</x:v>
      </x:c>
      <x:c r="O22" s="17" t="str">
        <x:v>Pendiente validación</x:v>
      </x:c>
      <x:c r="P22" s="17" t="str">
        <x:v>Estado actual</x:v>
      </x:c>
    </x:row>
    <x:row r="23">
      <x:c r="A23" s="17" t="str">
        <x:v>R-20</x:v>
      </x:c>
      <x:c r="B23" s="17" t="str">
        <x:v>Técnico</x:v>
      </x:c>
      <x:c r="C23" s="17" t="str">
        <x:v>Tickets offline rechazados generan retrabajo</x:v>
      </x:c>
      <x:c r="D23" s="17" t="str">
        <x:v>Rechazos quedan para revisión y no hay resolución asistida completa.</x:v>
      </x:c>
      <x:c r="E23" s="17" t="n">
        <x:v>3</x:v>
      </x:c>
      <x:c r="F23" s="17" t="n">
        <x:v>3</x:v>
      </x:c>
      <x:c r="G23" s="17" t="n">
        <x:f>E23*F23</x:f>
        <x:v>9</x:v>
      </x:c>
      <x:c r="H23" s="17" t="str">
        <x:f>IF(G23&lt;=5,"Bajo",IF(G23&lt;=12,"Medio","Alto"))</x:f>
        <x:v>Medio</x:v>
      </x:c>
      <x:c r="I23" s="17" t="str">
        <x:v>Media</x:v>
      </x:c>
      <x:c r="J23" s="17" t="str">
        <x:v>Mitigar/aceptar</x:v>
      </x:c>
      <x:c r="K23" s="17" t="str">
        <x:v>Mantener diagnóstico visible; diseñar resolución asistida futura sin ocultar rechazo.</x:v>
      </x:c>
      <x:c r="L23" s="17" t="str">
        <x:v>Dev/PO</x:v>
      </x:c>
      <x:c r="M23" s="17" t="str">
        <x:v>Cantidad de tickets rechazados o tiempo de resolución aumenta.</x:v>
      </x:c>
      <x:c r="N23" s="17" t="str">
        <x:v>2×3</x:v>
      </x:c>
      <x:c r="O23" s="17" t="str">
        <x:v>Abierto</x:v>
      </x:c>
      <x:c r="P23" s="17" t="str">
        <x:v>Estado actual</x:v>
      </x:c>
    </x:row>
  </x:sheetData>
  <x:mergeCells>
    <x:mergeCell ref="A1:P1"/>
  </x:mergeCells>
  <x:conditionalFormatting sqref="H4:H23">
    <x:cfRule type="expression" dxfId="0" priority="1">
      <x:formula>H4="Bajo"</x:formula>
    </x:cfRule>
    <x:cfRule type="expression" dxfId="1" priority="2">
      <x:formula>H4="Medio"</x:formula>
    </x:cfRule>
    <x:cfRule type="expression" dxfId="2" priority="3">
      <x:formula>H4="Alto"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56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34" hidden="0" customWidth="1"/>
    <x:col min="10" max="10" width="20" hidden="0" customWidth="1"/>
    <x:col min="11" max="11" width="38" hidden="0" customWidth="1"/>
  </x:cols>
  <x:sheetData>
    <x:row r="1" ht="28" customHeight="1">
      <x:c r="A1" s="4" t="str">
        <x:v>RESPUESTAS DE RIESGO CONVERTIDAS A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Risk ID</x:v>
      </x:c>
      <x:c r="B3" s="11" t="str">
        <x:v>Tipo item</x:v>
      </x:c>
      <x:c r="C3" s="11" t="str">
        <x:v>Item propuesto</x:v>
      </x:c>
      <x:c r="D3" s="11" t="str">
        <x:v>Criterio de aceptación / evidencia</x:v>
      </x:c>
      <x:c r="E3" s="11" t="str">
        <x:v>Prioridad</x:v>
      </x:c>
      <x:c r="F3" s="11" t="str">
        <x:v>Sprint objetivo</x:v>
      </x:c>
      <x:c r="G3" s="11" t="str">
        <x:v>Estado</x:v>
      </x:c>
      <x:c r="H3" s="11" t="str">
        <x:v>Relacionado con</x:v>
      </x:c>
      <x:c r="I3" s="11" t="str">
        <x:v>Trigger de revisión</x:v>
      </x:c>
      <x:c r="J3" s="11" t="str">
        <x:v>Owner</x:v>
      </x:c>
      <x:c r="K3" s="11" t="str">
        <x:v>Notas</x:v>
      </x:c>
    </x:row>
    <x:row r="4">
      <x:c r="A4" s="17" t="str">
        <x:v>R-02</x:v>
      </x:c>
      <x:c r="B4" s="17" t="str">
        <x:v>Task seguridad</x:v>
      </x:c>
      <x:c r="C4" s="17" t="str">
        <x:v>Rotar credenciales históricas y revisar secretos</x:v>
      </x:c>
      <x:c r="D4" s="17" t="str">
        <x:v>Ninguna credencial activa coincide con material histórico; variables revisadas; no publicar valores.</x:v>
      </x:c>
      <x:c r="E4" s="17" t="str">
        <x:v>Crítica</x:v>
      </x:c>
      <x:c r="F4" s="17" t="str">
        <x:v>Sprint 8</x:v>
      </x:c>
      <x:c r="G4" s="17" t="str">
        <x:v>Pendiente</x:v>
      </x:c>
      <x:c r="H4" s="17" t="str">
        <x:v>TASK-068</x:v>
      </x:c>
      <x:c r="I4" s="17" t="str">
        <x:v>Antes de defensa/despliegue</x:v>
      </x:c>
      <x:c r="J4" s="17" t="str">
        <x:v>Dev</x:v>
      </x:c>
      <x:c r="K4" s="17" t="str">
        <x:v>No exponer secretos en evidencia.</x:v>
      </x:c>
    </x:row>
    <x:row r="5">
      <x:c r="A5" s="17" t="str">
        <x:v>R-03</x:v>
      </x:c>
      <x:c r="B5" s="17" t="str">
        <x:v>Task QA/infra</x:v>
      </x:c>
      <x:c r="C5" s="17" t="str">
        <x:v>Validar PostgreSQL concurrente e idempotencia</x:v>
      </x:c>
      <x:c r="D5" s="17" t="str">
        <x:v>Venta repetida no duplica stock/venta; escenarios concurrentes registrados.</x:v>
      </x:c>
      <x:c r="E5" s="17" t="str">
        <x:v>Crítica</x:v>
      </x:c>
      <x:c r="F5" s="17" t="str">
        <x:v>Sprint 8</x:v>
      </x:c>
      <x:c r="G5" s="17" t="str">
        <x:v>Pendiente</x:v>
      </x:c>
      <x:c r="H5" s="17" t="str">
        <x:v>TASK-066</x:v>
      </x:c>
      <x:c r="I5" s="17" t="str">
        <x:v>Antes de datos reales</x:v>
      </x:c>
      <x:c r="J5" s="17" t="str">
        <x:v>Dev/QA</x:v>
      </x:c>
      <x:c r="K5" s="17" t="str">
        <x:v>Ambiente separado.</x:v>
      </x:c>
    </x:row>
    <x:row r="6">
      <x:c r="A6" s="17" t="str">
        <x:v>R-04</x:v>
      </x:c>
      <x:c r="B6" s="17" t="str">
        <x:v>Task QA</x:v>
      </x:c>
      <x:c r="C6" s="17" t="str">
        <x:v>Prueba concurrente de cierre de caja</x:v>
      </x:c>
      <x:c r="D6" s="17" t="str">
        <x:v>Cierre mantiene esperado consistente frente a ventas simultáneas.</x:v>
      </x:c>
      <x:c r="E6" s="17" t="str">
        <x:v>Crítica</x:v>
      </x:c>
      <x:c r="F6" s="17" t="str">
        <x:v>Sprint 8</x:v>
      </x:c>
      <x:c r="G6" s="17" t="str">
        <x:v>Pendiente</x:v>
      </x:c>
      <x:c r="H6" s="17" t="str">
        <x:v>TASK-067</x:v>
      </x:c>
      <x:c r="I6" s="17" t="str">
        <x:v>Antes de demo final</x:v>
      </x:c>
      <x:c r="J6" s="17" t="str">
        <x:v>Dev/QA</x:v>
      </x:c>
      <x:c r="K6" s="17" t="str">
        <x:v>Registrar evidencia.</x:v>
      </x:c>
    </x:row>
    <x:row r="7">
      <x:c r="A7" s="17" t="str">
        <x:v>R-05</x:v>
      </x:c>
      <x:c r="B7" s="17" t="str">
        <x:v>Task QA</x:v>
      </x:c>
      <x:c r="C7" s="17" t="str">
        <x:v>Validación PWA física</x:v>
      </x:c>
      <x:c r="D7" s="17" t="str">
        <x:v>Instalación, cámara, teclado, venta, offline y sincronización en iPhone/Android.</x:v>
      </x:c>
      <x:c r="E7" s="17" t="str">
        <x:v>Alta</x:v>
      </x:c>
      <x:c r="F7" s="17" t="str">
        <x:v>Sprint 8</x:v>
      </x:c>
      <x:c r="G7" s="17" t="str">
        <x:v>Pendiente</x:v>
      </x:c>
      <x:c r="H7" s="17" t="str">
        <x:v>TASK-065</x:v>
      </x:c>
      <x:c r="I7" s="17" t="str">
        <x:v>Antes de defensa</x:v>
      </x:c>
      <x:c r="J7" s="17" t="str">
        <x:v>QA</x:v>
      </x:c>
      <x:c r="K7" s="17" t="str">
        <x:v>Declarar limitaciones si algún equipo no se prueba.</x:v>
      </x:c>
    </x:row>
    <x:row r="8">
      <x:c r="A8" s="17" t="str">
        <x:v>R-06</x:v>
      </x:c>
      <x:c r="B8" s="17" t="str">
        <x:v>PBI producto</x:v>
      </x:c>
      <x:c r="C8" s="17" t="str">
        <x:v>Política de diferencia de precio offline</x:v>
      </x:c>
      <x:c r="D8" s="17" t="str">
        <x:v>Regla decidida por PO y mensaje claro cuando precio cambió.</x:v>
      </x:c>
      <x:c r="E8" s="17" t="str">
        <x:v>Alta</x:v>
      </x:c>
      <x:c r="F8" s="17" t="str">
        <x:v>Roadmap / si bloquea demo</x:v>
      </x:c>
      <x:c r="G8" s="17" t="str">
        <x:v>Abierto</x:v>
      </x:c>
      <x:c r="H8" s="17" t="str">
        <x:v>Offline</x:v>
      </x:c>
      <x:c r="I8" s="17" t="str">
        <x:v>Al detectar discrepancia real</x:v>
      </x:c>
      <x:c r="J8" s="17" t="str">
        <x:v>PO/Dev</x:v>
      </x:c>
      <x:c r="K8" s="17" t="str">
        <x:v>No inventar política sin decisión del equipo.</x:v>
      </x:c>
    </x:row>
    <x:row r="9">
      <x:c r="A9" s="17" t="str">
        <x:v>R-10</x:v>
      </x:c>
      <x:c r="B9" s="17" t="str">
        <x:v>Spike / roadmap</x:v>
      </x:c>
      <x:c r="C9" s="17" t="str">
        <x:v>Evaluar integración DTE/SII</x:v>
      </x:c>
      <x:c r="D9" s="17" t="str">
        <x:v>Opciones, costo, proveedor y alcance documentados; no implementar en tesis salvo cambio formal de Product Goal.</x:v>
      </x:c>
      <x:c r="E9" s="17" t="str">
        <x:v>Alta negocio</x:v>
      </x:c>
      <x:c r="F9" s="17" t="str">
        <x:v>Post-tesis</x:v>
      </x:c>
      <x:c r="G9" s="17" t="str">
        <x:v>Roadmap</x:v>
      </x:c>
      <x:c r="H9" s="17" t="str">
        <x:v>Mercado</x:v>
      </x:c>
      <x:c r="I9" s="17" t="str">
        <x:v>Pilotos exigen DTE</x:v>
      </x:c>
      <x:c r="J9" s="17" t="str">
        <x:v>PO</x:v>
      </x:c>
      <x:c r="K9" s="17" t="str">
        <x:v>Protege alcance.</x:v>
      </x:c>
    </x:row>
    <x:row r="10">
      <x:c r="A10" s="17" t="str">
        <x:v>R-11</x:v>
      </x:c>
      <x:c r="B10" s="17" t="str">
        <x:v>Experimento</x:v>
      </x:c>
      <x:c r="C10" s="17" t="str">
        <x:v>Validar disposición a pagar Básico/Pro</x:v>
      </x:c>
      <x:c r="D10" s="17" t="str">
        <x:v>Entrevistas/prueba de precio documentan WTP y preferencia.</x:v>
      </x:c>
      <x:c r="E10" s="17" t="str">
        <x:v>Alta</x:v>
      </x:c>
      <x:c r="F10" s="17" t="str">
        <x:v>Sprint 8 / piloto</x:v>
      </x:c>
      <x:c r="G10" s="17" t="str">
        <x:v>Pendiente</x:v>
      </x:c>
      <x:c r="H10" s="17" t="str">
        <x:v>Mercado</x:v>
      </x:c>
      <x:c r="I10" s="17" t="str">
        <x:v>Antes de congelar pricing</x:v>
      </x:c>
      <x:c r="J10" s="17" t="str">
        <x:v>PO</x:v>
      </x:c>
      <x:c r="K10" s="17" t="str">
        <x:v>Precios actuales son hipótesis.</x:v>
      </x:c>
    </x:row>
    <x:row r="11">
      <x:c r="A11" s="17" t="str">
        <x:v>R-12</x:v>
      </x:c>
      <x:c r="B11" s="17" t="str">
        <x:v>Experimento</x:v>
      </x:c>
      <x:c r="C11" s="17" t="str">
        <x:v>Pilotear trial y medir conversión/retención</x:v>
      </x:c>
      <x:c r="D11" s="17" t="str">
        <x:v>Activación, uso, conversión y retención registradas con muestra definida.</x:v>
      </x:c>
      <x:c r="E11" s="17" t="str">
        <x:v>Crítica negocio</x:v>
      </x:c>
      <x:c r="F11" s="17" t="str">
        <x:v>Piloto</x:v>
      </x:c>
      <x:c r="G11" s="17" t="str">
        <x:v>Pendiente</x:v>
      </x:c>
      <x:c r="H11" s="17" t="str">
        <x:v>Modelo financiero</x:v>
      </x:c>
      <x:c r="I11" s="17" t="str">
        <x:v>Inicio de pilotos</x:v>
      </x:c>
      <x:c r="J11" s="17" t="str">
        <x:v>PO</x:v>
      </x:c>
      <x:c r="K11" s="17" t="str">
        <x:v>Alimenta VAN/TIR con datos reales.</x:v>
      </x:c>
    </x:row>
    <x:row r="12">
      <x:c r="A12" s="17" t="str">
        <x:v>R-14</x:v>
      </x:c>
      <x:c r="B12" s="17" t="str">
        <x:v>Task investigación</x:v>
      </x:c>
      <x:c r="C12" s="17" t="str">
        <x:v>Pruebas con usuarios externos</x:v>
      </x:c>
      <x:c r="D12" s="17" t="str">
        <x:v>Tareas, tiempos, errores, completitud y satisfacción registrados.</x:v>
      </x:c>
      <x:c r="E12" s="17" t="str">
        <x:v>Crítica académica</x:v>
      </x:c>
      <x:c r="F12" s="17" t="str">
        <x:v>Sprint 8</x:v>
      </x:c>
      <x:c r="G12" s="17" t="str">
        <x:v>Pendiente</x:v>
      </x:c>
      <x:c r="H12" s="17" t="str">
        <x:v>Validación tesis</x:v>
      </x:c>
      <x:c r="I12" s="17" t="str">
        <x:v>Antes de defensa</x:v>
      </x:c>
      <x:c r="J12" s="17" t="str">
        <x:v>Equipo</x:v>
      </x:c>
      <x:c r="K12" s="17" t="str">
        <x:v>No confundir con pruebas internas.</x:v>
      </x:c>
    </x:row>
    <x:row r="13">
      <x:c r="A13" s="17" t="str">
        <x:v>R-15</x:v>
      </x:c>
      <x:c r="B13" s="17" t="str">
        <x:v>Task QA</x:v>
      </x:c>
      <x:c r="C13" s="17" t="str">
        <x:v>Regresión visual completa</x:v>
      </x:c>
      <x:c r="D13" s="17" t="str">
        <x:v>Todos los tamaños/temas/formularios/teclado críticos revisados tras rediseño.</x:v>
      </x:c>
      <x:c r="E13" s="17" t="str">
        <x:v>Alta</x:v>
      </x:c>
      <x:c r="F13" s="17" t="str">
        <x:v>Sprint 8</x:v>
      </x:c>
      <x:c r="G13" s="17" t="str">
        <x:v>Pendiente</x:v>
      </x:c>
      <x:c r="H13" s="17" t="str">
        <x:v>TASK-064</x:v>
      </x:c>
      <x:c r="I13" s="17" t="str">
        <x:v>Antes de freeze de demo</x:v>
      </x:c>
      <x:c r="J13" s="17" t="str">
        <x:v>QA</x:v>
      </x:c>
      <x:c r="K13" s="17" t="str">
        <x:v>Capturas anteriores no bastan.</x:v>
      </x:c>
    </x:row>
    <x:row r="14">
      <x:c r="A14" s="17" t="str">
        <x:v>R-19</x:v>
      </x:c>
      <x:c r="B14" s="17" t="str">
        <x:v>Task operación</x:v>
      </x:c>
      <x:c r="C14" s="17" t="str">
        <x:v>Backup y restore verificado</x:v>
      </x:c>
      <x:c r="D14" s="17" t="str">
        <x:v>Restauración completa en ambiente aislado y checklist de recuperación actualizado.</x:v>
      </x:c>
      <x:c r="E14" s="17" t="str">
        <x:v>Crítica</x:v>
      </x:c>
      <x:c r="F14" s="17" t="str">
        <x:v>Sprint 8</x:v>
      </x:c>
      <x:c r="G14" s="17" t="str">
        <x:v>Pendiente</x:v>
      </x:c>
      <x:c r="H14" s="17" t="str">
        <x:v>Producción</x:v>
      </x:c>
      <x:c r="I14" s="17" t="str">
        <x:v>Antes de datos reales</x:v>
      </x:c>
      <x:c r="J14" s="17" t="str">
        <x:v>Dev/QA</x:v>
      </x:c>
      <x:c r="K14" s="17" t="str">
        <x:v>No usar datos reales en prueba.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48" hidden="0" customWidth="1"/>
    <x:col min="5" max="5" width="44" hidden="0" customWidth="1"/>
    <x:col min="6" max="6" width="24" hidden="0" customWidth="1"/>
    <x:col min="7" max="7" width="28" hidden="0" customWidth="1"/>
    <x:col min="8" max="8" width="42" hidden="0" customWidth="1"/>
    <x:col min="9" max="9" width="22" hidden="0" customWidth="1"/>
    <x:col min="10" max="10" width="28" hidden="0" customWidth="1"/>
  </x:cols>
  <x:sheetData>
    <x:row r="1" ht="28" customHeight="1">
      <x:c r="A1" s="4" t="str">
        <x:v>RIESGOS Y CONTROLES POR SPRINT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Sprint</x:v>
      </x:c>
      <x:c r="B3" s="11" t="str">
        <x:v>Fechas</x:v>
      </x:c>
      <x:c r="C3" s="11" t="str">
        <x:v>Riesgos dominantes</x:v>
      </x:c>
      <x:c r="D3" s="11" t="str">
        <x:v>Control / respuesta esperada</x:v>
      </x:c>
      <x:c r="E3" s="11" t="str">
        <x:v>Evidencia esperada</x:v>
      </x:c>
      <x:c r="F3" s="11" t="str">
        <x:v>Revisión</x:v>
      </x:c>
      <x:c r="G3" s="11" t="str">
        <x:v>Estado documental</x:v>
      </x:c>
      <x:c r="H3" s="11" t="str">
        <x:v>Observación</x:v>
      </x:c>
      <x:c r="I3" s="11" t="str">
        <x:v>Feriados</x:v>
      </x:c>
      <x:c r="J3" s="11" t="str">
        <x:v>Cierre</x:v>
      </x:c>
    </x:row>
    <x:row r="4">
      <x:c r="A4" s="17" t="str">
        <x:v>Sprint 1</x:v>
      </x:c>
      <x:c r="B4" s="17" t="str">
        <x:v>10–23 ago</x:v>
      </x:c>
      <x:c r="C4" s="17" t="str">
        <x:v>R-01, R-16</x:v>
      </x:c>
      <x:c r="D4" s="17" t="str">
        <x:v>Aislamiento tenant, roles y alcance del MVP</x:v>
      </x:c>
      <x:c r="E4" s="17" t="str">
        <x:v>Pruebas de aislamiento y backlog priorizado</x:v>
      </x:c>
      <x:c r="F4" s="17" t="str">
        <x:v>Planning/Review</x:v>
      </x:c>
      <x:c r="G4" s="17" t="str">
        <x:v>Reconstrucción documental</x:v>
      </x:c>
      <x:c r="H4" s="17" t="str">
        <x:v>No afirmar ceremonias no registradas</x:v>
      </x:c>
      <x:c r="I4" s="17" t="str">
        <x:v>15 ago sábado</x:v>
      </x:c>
      <x:c r="J4" s="17" t="str">
        <x:v>Cerrado documentalmente</x:v>
      </x:c>
    </x:row>
    <x:row r="5">
      <x:c r="A5" s="17" t="str">
        <x:v>Sprint 2</x:v>
      </x:c>
      <x:c r="B5" s="17" t="str">
        <x:v>24 ago–6 sep</x:v>
      </x:c>
      <x:c r="C5" s="17" t="str">
        <x:v>R-03, R-09</x:v>
      </x:c>
      <x:c r="D5" s="17" t="str">
        <x:v>Persistencia, inventario, compras e imágenes</x:v>
      </x:c>
      <x:c r="E5" s="17" t="str">
        <x:v>Pruebas de reglas y esquema</x:v>
      </x:c>
      <x:c r="F5" s="17" t="str">
        <x:v>Review/refinement</x:v>
      </x:c>
      <x:c r="G5" s="17" t="str">
        <x:v>Reconstrucción documental</x:v>
      </x:c>
      <x:c r="H5" s="17" t="str"/>
      <x:c r="I5" s="17" t="str">
        <x:v>Sin feriado hábil</x:v>
      </x:c>
      <x:c r="J5" s="17" t="str">
        <x:v>Cerrado documentalmente</x:v>
      </x:c>
    </x:row>
    <x:row r="6">
      <x:c r="A6" s="17" t="str">
        <x:v>Sprint 3</x:v>
      </x:c>
      <x:c r="B6" s="17" t="str">
        <x:v>7–20 sep</x:v>
      </x:c>
      <x:c r="C6" s="17" t="str">
        <x:v>R-04, R-10</x:v>
      </x:c>
      <x:c r="D6" s="17" t="str">
        <x:v>Caja/fiado; mantener DTE fuera de alcance</x:v>
      </x:c>
      <x:c r="E6" s="17" t="str">
        <x:v>Pruebas funcionales; alcance visible</x:v>
      </x:c>
      <x:c r="F6" s="17" t="str">
        <x:v>Review/refinement</x:v>
      </x:c>
      <x:c r="G6" s="17" t="str">
        <x:v>Reconstrucción documental</x:v>
      </x:c>
      <x:c r="H6" s="17" t="str"/>
      <x:c r="I6" s="17" t="str">
        <x:v>18 sep viernes</x:v>
      </x:c>
      <x:c r="J6" s="17" t="str">
        <x:v>Cerrado documentalmente</x:v>
      </x:c>
    </x:row>
    <x:row r="7">
      <x:c r="A7" s="17" t="str">
        <x:v>Sprint 4</x:v>
      </x:c>
      <x:c r="B7" s="17" t="str">
        <x:v>21 sep–4 oct</x:v>
      </x:c>
      <x:c r="C7" s="17" t="str">
        <x:v>R-07, R-08</x:v>
      </x:c>
      <x:c r="D7" s="17" t="str">
        <x:v>IA con fallback y confirmación humana</x:v>
      </x:c>
      <x:c r="E7" s="17" t="str">
        <x:v>Errores controlados; no modificar stock sin confirmar</x:v>
      </x:c>
      <x:c r="F7" s="17" t="str">
        <x:v>Review/refinement</x:v>
      </x:c>
      <x:c r="G7" s="17" t="str">
        <x:v>Planificado documentalmente</x:v>
      </x:c>
      <x:c r="H7" s="17" t="str"/>
      <x:c r="I7" s="17" t="str">
        <x:v>Sin feriado hábil</x:v>
      </x:c>
      <x:c r="J7" s="17" t="str">
        <x:v>Por ejecutar según calendario</x:v>
      </x:c>
    </x:row>
    <x:row r="8">
      <x:c r="A8" s="17" t="str">
        <x:v>Sprint 5</x:v>
      </x:c>
      <x:c r="B8" s="17" t="str">
        <x:v>5–18 oct</x:v>
      </x:c>
      <x:c r="C8" s="17" t="str">
        <x:v>R-03, R-05, R-06, R-20</x:v>
      </x:c>
      <x:c r="D8" s="17" t="str">
        <x:v>PWA/offline, idempotencia y sincronización</x:v>
      </x:c>
      <x:c r="E8" s="17" t="str">
        <x:v>Pruebas de cola y política de discrepancia</x:v>
      </x:c>
      <x:c r="F8" s="17" t="str">
        <x:v>Review/refinement</x:v>
      </x:c>
      <x:c r="G8" s="17" t="str">
        <x:v>Planificado documentalmente</x:v>
      </x:c>
      <x:c r="H8" s="17" t="str"/>
      <x:c r="I8" s="17" t="str">
        <x:v>12 oct lunes</x:v>
      </x:c>
      <x:c r="J8" s="17" t="str">
        <x:v>Por ejecutar</x:v>
      </x:c>
    </x:row>
    <x:row r="9">
      <x:c r="A9" s="17" t="str">
        <x:v>Sprint 6</x:v>
      </x:c>
      <x:c r="B9" s="17" t="str">
        <x:v>19 oct–1 nov</x:v>
      </x:c>
      <x:c r="C9" s="17" t="str">
        <x:v>R-11, R-17</x:v>
      </x:c>
      <x:c r="D9" s="17" t="str">
        <x:v>Planes, pricing, entitlements y costos</x:v>
      </x:c>
      <x:c r="E9" s="17" t="str">
        <x:v>Pruebas de permisos; supuestos actualizados</x:v>
      </x:c>
      <x:c r="F9" s="17" t="str">
        <x:v>Review/refinement</x:v>
      </x:c>
      <x:c r="G9" s="17" t="str">
        <x:v>Planificado documentalmente</x:v>
      </x:c>
      <x:c r="H9" s="17" t="str"/>
      <x:c r="I9" s="17" t="str">
        <x:v>31 oct sáb / 1 nov dom</x:v>
      </x:c>
      <x:c r="J9" s="17" t="str">
        <x:v>Por ejecutar</x:v>
      </x:c>
    </x:row>
    <x:row r="10">
      <x:c r="A10" s="17" t="str">
        <x:v>Sprint 7</x:v>
      </x:c>
      <x:c r="B10" s="17" t="str">
        <x:v>2–15 nov</x:v>
      </x:c>
      <x:c r="C10" s="17" t="str">
        <x:v>R-13, R-15</x:v>
      </x:c>
      <x:c r="D10" s="17" t="str">
        <x:v>Hardening, reportes y regresión</x:v>
      </x:c>
      <x:c r="E10" s="17" t="str">
        <x:v>Regresión técnica/visual priorizada</x:v>
      </x:c>
      <x:c r="F10" s="17" t="str">
        <x:v>Review/refinement</x:v>
      </x:c>
      <x:c r="G10" s="17" t="str">
        <x:v>Planificado documentalmente</x:v>
      </x:c>
      <x:c r="H10" s="17" t="str"/>
      <x:c r="I10" s="17" t="str">
        <x:v>Sin feriado hábil</x:v>
      </x:c>
      <x:c r="J10" s="17" t="str">
        <x:v>Por ejecutar</x:v>
      </x:c>
    </x:row>
    <x:row r="11">
      <x:c r="A11" s="17" t="str">
        <x:v>Sprint 8</x:v>
      </x:c>
      <x:c r="B11" s="17" t="str">
        <x:v>16–29 nov</x:v>
      </x:c>
      <x:c r="C11" s="17" t="str">
        <x:v>R-02,R-03,R-04,R-05,R-12,R-14,R-15,R-19</x:v>
      </x:c>
      <x:c r="D11" s="17" t="str">
        <x:v>Cierre de riesgos críticos y evidencia</x:v>
      </x:c>
      <x:c r="E11" s="17" t="str">
        <x:v>PostgreSQL, dispositivos, usuarios, visual, secretos, backup</x:v>
      </x:c>
      <x:c r="F11" s="17" t="str">
        <x:v>Review + evidencia</x:v>
      </x:c>
      <x:c r="G11" s="17" t="str">
        <x:v>Planificado documentalmente</x:v>
      </x:c>
      <x:c r="H11" s="17" t="str">
        <x:v>No abrir nuevo scope funcional</x:v>
      </x:c>
      <x:c r="I11" s="17" t="str">
        <x:v>Sin feriado hábil</x:v>
      </x:c>
      <x:c r="J11" s="17" t="str">
        <x:v>Sprint crítico de cierre</x:v>
      </x:c>
    </x:row>
    <x:row r="12">
      <x:c r="A12" s="17" t="str">
        <x:v>Cierre académico</x:v>
      </x:c>
      <x:c r="B12" s="17" t="str">
        <x:v>30 nov–6 dic</x:v>
      </x:c>
      <x:c r="C12" s="17" t="str">
        <x:v>Riesgos residuales aceptados</x:v>
      </x:c>
      <x:c r="D12" s="17" t="str">
        <x:v>Consolidar evidencia y preparar defensa</x:v>
      </x:c>
      <x:c r="E12" s="17" t="str">
        <x:v>Lista de riesgos residuales y limitaciones</x:v>
      </x:c>
      <x:c r="F12" s="17" t="str">
        <x:v>Cierre documental</x:v>
      </x:c>
      <x:c r="G12" s="17" t="str">
        <x:v>No es Sprint</x:v>
      </x:c>
      <x:c r="H12" s="17" t="str">
        <x:v>Solo fixes críticos de demo</x:v>
      </x:c>
      <x:c r="I12" s="17" t="str">
        <x:v>Sin feriado hábil</x:v>
      </x:c>
      <x:c r="J12" s="17" t="str">
        <x:v>Cierre final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2" hidden="0" customWidth="1"/>
    <x:col min="5" max="5" width="38" hidden="0" customWidth="1"/>
    <x:col min="6" max="6" width="20" hidden="0" customWidth="1"/>
    <x:col min="7" max="7" width="28" hidden="0" customWidth="1"/>
    <x:col min="8" max="8" width="26" hidden="0" customWidth="1"/>
    <x:col min="9" max="9" width="20" hidden="0" customWidth="1"/>
    <x:col min="10" max="10" width="36" hidden="0" customWidth="1"/>
  </x:cols>
  <x:sheetData>
    <x:row r="1" ht="28" customHeight="1">
      <x:c r="A1" s="4" t="str">
        <x:v>KPI / KRI PARA MONITOREO DE RIESGOS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ID</x:v>
      </x:c>
      <x:c r="B3" s="11" t="str">
        <x:v>Tipo</x:v>
      </x:c>
      <x:c r="C3" s="11" t="str">
        <x:v>Indicador</x:v>
      </x:c>
      <x:c r="D3" s="11" t="str">
        <x:v>Definición</x:v>
      </x:c>
      <x:c r="E3" s="11" t="str">
        <x:v>Fórmula / señal</x:v>
      </x:c>
      <x:c r="F3" s="11" t="str">
        <x:v>Frecuencia</x:v>
      </x:c>
      <x:c r="G3" s="11" t="str">
        <x:v>Umbral propuesto</x:v>
      </x:c>
      <x:c r="H3" s="11" t="str">
        <x:v>Estado actual</x:v>
      </x:c>
      <x:c r="I3" s="11" t="str">
        <x:v>Fuente</x:v>
      </x:c>
      <x:c r="J3" s="11" t="str">
        <x:v>Nota</x:v>
      </x:c>
    </x:row>
    <x:row r="4">
      <x:c r="A4" s="17" t="str">
        <x:v>KRI-01</x:v>
      </x:c>
      <x:c r="B4" s="17" t="str">
        <x:v>KRI</x:v>
      </x:c>
      <x:c r="C4" s="17" t="str">
        <x:v>Riesgos altos abiertos</x:v>
      </x:c>
      <x:c r="D4" s="17" t="str">
        <x:v>Cantidad de riesgos con nivel Alto sin respuesta cerrada.</x:v>
      </x:c>
      <x:c r="E4" s="17" t="str">
        <x:v>COUNTIF nivel Alto y estado no cerrado</x:v>
      </x:c>
      <x:c r="F4" s="17" t="str">
        <x:v>Cada Sprint</x:v>
      </x:c>
      <x:c r="G4" s="17" t="str">
        <x:v>Tendencia descendente</x:v>
      </x:c>
      <x:c r="H4" s="17" t="str">
        <x:v>Medible desde registro</x:v>
      </x:c>
      <x:c r="I4" s="17" t="str">
        <x:v>Risk Backlog</x:v>
      </x:c>
      <x:c r="J4" s="17" t="str">
        <x:v>No inventar histórico.</x:v>
      </x:c>
    </x:row>
    <x:row r="5">
      <x:c r="A5" s="17" t="str">
        <x:v>KRI-02</x:v>
      </x:c>
      <x:c r="B5" s="17" t="str">
        <x:v>KRI</x:v>
      </x:c>
      <x:c r="C5" s="17" t="str">
        <x:v>Tickets offline rechazados</x:v>
      </x:c>
      <x:c r="D5" s="17" t="str">
        <x:v>Cantidad de tickets que requieren revisión manual.</x:v>
      </x:c>
      <x:c r="E5" s="17" t="str">
        <x:v>Conteo de rechazos por período</x:v>
      </x:c>
      <x:c r="F5" s="17" t="str">
        <x:v>Semanal / Sprint</x:v>
      </x:c>
      <x:c r="G5" s="17" t="str">
        <x:v>Definir tras baseline</x:v>
      </x:c>
      <x:c r="H5" s="17" t="str">
        <x:v>Medible cuando haya uso</x:v>
      </x:c>
      <x:c r="I5" s="17" t="str">
        <x:v>Sincronización</x:v>
      </x:c>
      <x:c r="J5" s="17" t="str">
        <x:v>Hoy no hay baseline real.</x:v>
      </x:c>
    </x:row>
    <x:row r="6">
      <x:c r="A6" s="17" t="str">
        <x:v>KRI-03</x:v>
      </x:c>
      <x:c r="B6" s="17" t="str">
        <x:v>KRI</x:v>
      </x:c>
      <x:c r="C6" s="17" t="str">
        <x:v>Errores de proveedor IA</x:v>
      </x:c>
      <x:c r="D6" s="17" t="str">
        <x:v>Errores 429/5xx o fallos de proveedor.</x:v>
      </x:c>
      <x:c r="E6" s="17" t="str">
        <x:v>Errores IA / intentos IA</x:v>
      </x:c>
      <x:c r="F6" s="17" t="str">
        <x:v>Sprint</x:v>
      </x:c>
      <x:c r="G6" s="17" t="str">
        <x:v>Definir tras baseline</x:v>
      </x:c>
      <x:c r="H6" s="17" t="str">
        <x:v>Sin baseline comercial</x:v>
      </x:c>
      <x:c r="I6" s="17" t="str">
        <x:v>IA</x:v>
      </x:c>
      <x:c r="J6" s="17" t="str">
        <x:v>Fallback debe preservar POS.</x:v>
      </x:c>
    </x:row>
    <x:row r="7">
      <x:c r="A7" s="17" t="str">
        <x:v>KRI-04</x:v>
      </x:c>
      <x:c r="B7" s="17" t="str">
        <x:v>KRI</x:v>
      </x:c>
      <x:c r="C7" s="17" t="str">
        <x:v>Discrepancia de caja</x:v>
      </x:c>
      <x:c r="D7" s="17" t="str">
        <x:v>Diferencia absoluta entre esperado y contado.</x:v>
      </x:c>
      <x:c r="E7" s="17" t="str">
        <x:v>ABS(contado-esperado)</x:v>
      </x:c>
      <x:c r="F7" s="17" t="str">
        <x:v>Por cierre</x:v>
      </x:c>
      <x:c r="G7" s="17" t="str">
        <x:v>0 ideal; umbral negocio por definir</x:v>
      </x:c>
      <x:c r="H7" s="17" t="str">
        <x:v>Funcionalidad disponible</x:v>
      </x:c>
      <x:c r="I7" s="17" t="str">
        <x:v>Caja</x:v>
      </x:c>
      <x:c r="J7" s="17" t="str">
        <x:v>No confundir error humano con bug.</x:v>
      </x:c>
    </x:row>
    <x:row r="8">
      <x:c r="A8" s="17" t="str">
        <x:v>KRI-05</x:v>
      </x:c>
      <x:c r="B8" s="17" t="str">
        <x:v>KRI</x:v>
      </x:c>
      <x:c r="C8" s="17" t="str">
        <x:v>Intentos de acceso cruzado exitosos</x:v>
      </x:c>
      <x:c r="D8" s="17" t="str">
        <x:v>Respuesta indebida con datos de otro tenant.</x:v>
      </x:c>
      <x:c r="E8" s="17" t="str">
        <x:v>Conteo</x:v>
      </x:c>
      <x:c r="F8" s="17" t="str">
        <x:v>CI / regresión</x:v>
      </x:c>
      <x:c r="G8" s="17" t="str">
        <x:v>0</x:v>
      </x:c>
      <x:c r="H8" s="17" t="str">
        <x:v>Debe ser 0</x:v>
      </x:c>
      <x:c r="I8" s="17" t="str">
        <x:v>Seguridad</x:v>
      </x:c>
      <x:c r="J8" s="17" t="str">
        <x:v>Tolerancia cero.</x:v>
      </x:c>
    </x:row>
    <x:row r="9">
      <x:c r="A9" s="17" t="str">
        <x:v>KRI-06</x:v>
      </x:c>
      <x:c r="B9" s="17" t="str">
        <x:v>KRI</x:v>
      </x:c>
      <x:c r="C9" s="17" t="str">
        <x:v>Credenciales activas históricas</x:v>
      </x:c>
      <x:c r="D9" s="17" t="str">
        <x:v>Secretos que coincidan con material publicado.</x:v>
      </x:c>
      <x:c r="E9" s="17" t="str">
        <x:v>Conteo</x:v>
      </x:c>
      <x:c r="F9" s="17" t="str">
        <x:v>Antes de release</x:v>
      </x:c>
      <x:c r="G9" s="17" t="str">
        <x:v>0</x:v>
      </x:c>
      <x:c r="H9" s="17" t="str">
        <x:v>Acción requerida</x:v>
      </x:c>
      <x:c r="I9" s="17" t="str">
        <x:v>Seguridad</x:v>
      </x:c>
      <x:c r="J9" s="17" t="str">
        <x:v>No registrar el secreto, solo el hallazgo.</x:v>
      </x:c>
    </x:row>
    <x:row r="10">
      <x:c r="A10" s="17" t="str">
        <x:v>KPI-01</x:v>
      </x:c>
      <x:c r="B10" s="17" t="str">
        <x:v>KPI</x:v>
      </x:c>
      <x:c r="C10" s="17" t="str">
        <x:v>Riesgos críticos con respuesta en backlog</x:v>
      </x:c>
      <x:c r="D10" s="17" t="str">
        <x:v>Porcentaje de riesgos críticos con acción rastreable.</x:v>
      </x:c>
      <x:c r="E10" s="17" t="str">
        <x:v>Críticos con PBI / críticos totales</x:v>
      </x:c>
      <x:c r="F10" s="17" t="str">
        <x:v>Cada Sprint</x:v>
      </x:c>
      <x:c r="G10" s="17" t="str">
        <x:v>100%</x:v>
      </x:c>
      <x:c r="H10" s="17" t="str">
        <x:v>Calculable documentalmente</x:v>
      </x:c>
      <x:c r="I10" s="17" t="str">
        <x:v>Backlog</x:v>
      </x:c>
      <x:c r="J10" s="17" t="str">
        <x:v>No implica que estén mitigados.</x:v>
      </x:c>
    </x:row>
    <x:row r="11">
      <x:c r="A11" s="17" t="str">
        <x:v>KPI-02</x:v>
      </x:c>
      <x:c r="B11" s="17" t="str">
        <x:v>KPI</x:v>
      </x:c>
      <x:c r="C11" s="17" t="str">
        <x:v>Riesgos validados con evidencia</x:v>
      </x:c>
      <x:c r="D11" s="17" t="str">
        <x:v>Porcentaje de riesgos cuyo control fue probado.</x:v>
      </x:c>
      <x:c r="E11" s="17" t="str">
        <x:v>Riesgos con evidencia / riesgos priorizados</x:v>
      </x:c>
      <x:c r="F11" s="17" t="str">
        <x:v>Sprint Review</x:v>
      </x:c>
      <x:c r="G11" s="17" t="str">
        <x:v>Meta progresiva</x:v>
      </x:c>
      <x:c r="H11" s="17" t="str">
        <x:v>Parcial</x:v>
      </x:c>
      <x:c r="I11" s="17" t="str">
        <x:v>QA</x:v>
      </x:c>
      <x:c r="J11" s="17" t="str">
        <x:v>Debe citar evidencia.</x:v>
      </x:c>
    </x:row>
    <x:row r="12">
      <x:c r="A12" s="17" t="str">
        <x:v>KPI-03</x:v>
      </x:c>
      <x:c r="B12" s="17" t="str">
        <x:v>KPI</x:v>
      </x:c>
      <x:c r="C12" s="17" t="str">
        <x:v>Tiempo de resolución de impedimentos críticos</x:v>
      </x:c>
      <x:c r="D12" s="17" t="str">
        <x:v>Tiempo desde señal crítica hasta contención.</x:v>
      </x:c>
      <x:c r="E12" s="17" t="str">
        <x:v>Horas/días</x:v>
      </x:c>
      <x:c r="F12" s="17" t="str">
        <x:v>Por evento</x:v>
      </x:c>
      <x:c r="G12" s="17" t="str">
        <x:v>Definir tras incidentes</x:v>
      </x:c>
      <x:c r="H12" s="17" t="str">
        <x:v>Sin histórico</x:v>
      </x:c>
      <x:c r="I12" s="17" t="str">
        <x:v>Scrum</x:v>
      </x:c>
      <x:c r="J12" s="17" t="str">
        <x:v>No inventar promedio.</x:v>
      </x:c>
    </x:row>
    <x:row r="13">
      <x:c r="A13" s="17" t="str">
        <x:v>KPI-04</x:v>
      </x:c>
      <x:c r="B13" s="17" t="str">
        <x:v>KPI</x:v>
      </x:c>
      <x:c r="C13" s="17" t="str">
        <x:v>Riesgos convertidos en aprendizaje</x:v>
      </x:c>
      <x:c r="D13" s="17" t="str">
        <x:v>Riesgos materializados que generan acción/criterio nuevo.</x:v>
      </x:c>
      <x:c r="E13" s="17" t="str">
        <x:v>Eventos con mejora / eventos materializados</x:v>
      </x:c>
      <x:c r="F13" s="17" t="str">
        <x:v>Retrospectiva</x:v>
      </x:c>
      <x:c r="G13" s="17" t="str">
        <x:v>100% cuando aplique</x:v>
      </x:c>
      <x:c r="H13" s="17" t="str">
        <x:v>Template</x:v>
      </x:c>
      <x:c r="I13" s="17" t="str">
        <x:v>Retrospectiva</x:v>
      </x:c>
      <x:c r="J13" s="17" t="str">
        <x:v>Indicador operativo.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52" hidden="0" customWidth="1"/>
    <x:col min="9" max="9" width="18" hidden="0" customWidth="1"/>
    <x:col min="10" max="10" width="54" hidden="0" customWidth="1"/>
  </x:cols>
  <x:sheetData>
    <x:row r="1" ht="28" customHeight="1">
      <x:c r="A1" s="4" t="str">
        <x:v>ANÁLISIS CUANTITATIVO - PLANTILLAS HONESTAS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Método</x:v>
      </x:c>
      <x:c r="B3" s="11" t="str">
        <x:v>Uso</x:v>
      </x:c>
      <x:c r="C3" s="11" t="str">
        <x:v>Caso Localito propuesto</x:v>
      </x:c>
      <x:c r="D3" s="11" t="str">
        <x:v>O</x:v>
      </x:c>
      <x:c r="E3" s="11" t="str">
        <x:v>M</x:v>
      </x:c>
      <x:c r="F3" s="11" t="str">
        <x:v>P</x:v>
      </x:c>
      <x:c r="G3" s="11" t="str">
        <x:v>Esperado</x:v>
      </x:c>
      <x:c r="H3" s="11" t="str">
        <x:v>Dato requerido</x:v>
      </x:c>
      <x:c r="I3" s="11" t="str">
        <x:v>Estado</x:v>
      </x:c>
      <x:c r="J3" s="11" t="str">
        <x:v>Advertencia</x:v>
      </x:c>
    </x:row>
    <x:row r="4">
      <x:c r="A4" s="17" t="str">
        <x:v>PERT</x:v>
      </x:c>
      <x:c r="B4" s="17" t="str">
        <x:v>Estimar duración bajo incertidumbre</x:v>
      </x:c>
      <x:c r="C4" s="17" t="str">
        <x:v>Validación PostgreSQL concurrente</x:v>
      </x:c>
      <x:c r="D4" s="22"/>
      <x:c r="E4" s="22"/>
      <x:c r="F4" s="22"/>
      <x:c r="G4" s="17" t="str">
        <x:f>IF(COUNTA(D4:F4)=3,(D4+4*E4+F4)/6,"")</x:f>
      </x:c>
      <x:c r="H4" s="17" t="str">
        <x:v>Estimaciones del equipo antes de ejecutar</x:v>
      </x:c>
      <x:c r="I4" s="17" t="str">
        <x:v>Sin cargar</x:v>
      </x:c>
      <x:c r="J4" s="17" t="str">
        <x:v>No inventar O/M/P; completar en Sprint Planning.</x:v>
      </x:c>
    </x:row>
    <x:row r="5">
      <x:c r="A5" s="17" t="str">
        <x:v>PERT</x:v>
      </x:c>
      <x:c r="B5" s="17" t="str">
        <x:v>Estimar duración bajo incertidumbre</x:v>
      </x:c>
      <x:c r="C5" s="17" t="str">
        <x:v>Validación física PWA</x:v>
      </x:c>
      <x:c r="D5" s="22"/>
      <x:c r="E5" s="22"/>
      <x:c r="F5" s="22"/>
      <x:c r="G5" s="17" t="str">
        <x:f>IF(COUNTA(D5:F5)=3,(D5+4*E5+F5)/6,"")</x:f>
      </x:c>
      <x:c r="H5" s="17" t="str">
        <x:v>Estimaciones del equipo</x:v>
      </x:c>
      <x:c r="I5" s="17" t="str">
        <x:v>Sin cargar</x:v>
      </x:c>
      <x:c r="J5" s="17" t="str">
        <x:v>Puede dividirse por dispositivo.</x:v>
      </x:c>
    </x:row>
    <x:row r="6">
      <x:c r="A6" s="17" t="str">
        <x:v>Monte Carlo</x:v>
      </x:c>
      <x:c r="B6" s="17" t="str">
        <x:v>Obtener percentiles de plazo/costo</x:v>
      </x:c>
      <x:c r="C6" s="17" t="str">
        <x:v>Cierre de validaciones Sprint 8</x:v>
      </x:c>
      <x:c r="D6" s="17"/>
      <x:c r="E6" s="17"/>
      <x:c r="F6" s="17"/>
      <x:c r="G6" s="17"/>
      <x:c r="H6" s="17" t="str">
        <x:v>Distribuciones/estimaciones históricas o expertas justificadas</x:v>
      </x:c>
      <x:c r="I6" s="17" t="str">
        <x:v>No ejecutado</x:v>
      </x:c>
      <x:c r="J6" s="17" t="str">
        <x:v>No hay datos suficientes para simular honestamente hoy.</x:v>
      </x:c>
    </x:row>
    <x:row r="7">
      <x:c r="A7" s="17" t="str">
        <x:v>EMV / árbol decisión</x:v>
      </x:c>
      <x:c r="B7" s="17" t="str">
        <x:v>Comparar alternativas con probabilidad y costo</x:v>
      </x:c>
      <x:c r="C7" s="17" t="str">
        <x:v>Integrar DTE vía proveedor vs desarrollo propio</x:v>
      </x:c>
      <x:c r="D7" s="17"/>
      <x:c r="E7" s="17"/>
      <x:c r="F7" s="17"/>
      <x:c r="G7" s="17"/>
      <x:c r="H7" s="17" t="str">
        <x:v>Cotizaciones, probabilidad de sobrecosto y soporte</x:v>
      </x:c>
      <x:c r="I7" s="17" t="str">
        <x:v>No ejecutado</x:v>
      </x:c>
      <x:c r="J7" s="17" t="str">
        <x:v>Realizar solo al evaluar roadmap comercial.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4" max="4" width="18" hidden="0" customWidth="1"/>
    <x:col min="5" max="5" width="14" hidden="0" customWidth="1"/>
  </x:cols>
  <x:sheetData>
    <x:row r="1" ht="28" customHeight="1">
      <x:c r="A1" s="4" t="str">
        <x:v>DASHBOARD DOCUMENTAL DE RIESGOS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Métrica</x:v>
      </x:c>
      <x:c r="B3" s="11" t="str">
        <x:v>Valor</x:v>
      </x:c>
      <x:c r="D3" s="11" t="str">
        <x:v>Nivel</x:v>
      </x:c>
      <x:c r="E3" s="11" t="str">
        <x:v>Cantidad</x:v>
      </x:c>
    </x:row>
    <x:row r="4">
      <x:c r="A4" t="str">
        <x:v>Riesgos registrados</x:v>
      </x:c>
      <x:c r="B4" t="n">
        <x:f>COUNTA('02_Risk_Backlog'!A4:A23)</x:f>
        <x:v>20</x:v>
      </x:c>
      <x:c r="D4" t="str">
        <x:v>Alto</x:v>
      </x:c>
      <x:c r="E4" t="n">
        <x:f>B5</x:f>
        <x:v>8</x:v>
      </x:c>
    </x:row>
    <x:row r="5">
      <x:c r="A5" t="str">
        <x:v>Riesgos Alto</x:v>
      </x:c>
      <x:c r="B5" t="n">
        <x:f>COUNTIF('02_Risk_Backlog'!H4:H23,"Alto")</x:f>
        <x:v>8</x:v>
      </x:c>
      <x:c r="D5" t="str">
        <x:v>Medio</x:v>
      </x:c>
      <x:c r="E5" t="n">
        <x:f>B6</x:f>
        <x:v>12</x:v>
      </x:c>
    </x:row>
    <x:row r="6">
      <x:c r="A6" t="str">
        <x:v>Riesgos Medio</x:v>
      </x:c>
      <x:c r="B6" t="n">
        <x:f>COUNTIF('02_Risk_Backlog'!H4:H23,"Medio")</x:f>
        <x:v>12</x:v>
      </x:c>
      <x:c r="D6" t="str">
        <x:v>Bajo</x:v>
      </x:c>
      <x:c r="E6" t="n">
        <x:f>B7</x:f>
        <x:v>0</x:v>
      </x:c>
    </x:row>
    <x:row r="7">
      <x:c r="A7" t="str">
        <x:v>Riesgos Bajo</x:v>
      </x:c>
      <x:c r="B7" t="n">
        <x:f>COUNTIF('02_Risk_Backlog'!H4:H23,"Bajo")</x:f>
        <x:v>0</x:v>
      </x:c>
    </x:row>
    <x:row r="8">
      <x:c r="A8" t="str">
        <x:v>Pendientes/acción requerida</x:v>
      </x:c>
      <x:c r="B8" t="n">
        <x:f>COUNTIF('02_Risk_Backlog'!O4:O23,"Pendiente")+COUNTIF('02_Risk_Backlog'!O4:O23,"Pendiente validación")+COUNTIF('02_Risk_Backlog'!O4:O23,"Acción requerida")</x:f>
        <x:v>7</x:v>
      </x:c>
    </x:row>
    <x:row r="9">
      <x:c r="A9" t="str">
        <x:v>Aceptados como alcance</x:v>
      </x:c>
      <x:c r="B9" t="n">
        <x:f>COUNTIF('02_Risk_Backlog'!O4:O23,"Aceptado como alcance")</x:f>
        <x:v>1</x:v>
      </x:c>
    </x:row>
    <x:row r="10">
      <x:c r="A10" t="str">
        <x:v>Nota</x:v>
      </x:c>
      <x:c r="B10" t="str">
        <x:v>Corte documental; no representa historial de ocurrencias.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d5717f00b4b4a1c"/>
</x:worksheet>
</file>