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be186748b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d9b5391688764be3"/>
    <x:sheet xmlns:r="http://schemas.openxmlformats.org/officeDocument/2006/relationships" name="01_Requerimientos" sheetId="2" r:id="Rc7dc5cc544ae4ef5"/>
    <x:sheet xmlns:r="http://schemas.openxmlformats.org/officeDocument/2006/relationships" name="02_Activos_Datos" sheetId="3" r:id="Rfb850e33f75f45d6"/>
    <x:sheet xmlns:r="http://schemas.openxmlformats.org/officeDocument/2006/relationships" name="03_Amenazas_Controles" sheetId="4" r:id="Rda0e3cab600b47d7"/>
    <x:sheet xmlns:r="http://schemas.openxmlformats.org/officeDocument/2006/relationships" name="04_OWASP_Mapeo" sheetId="5" r:id="Ra69cd90363f8406c"/>
    <x:sheet xmlns:r="http://schemas.openxmlformats.org/officeDocument/2006/relationships" name="05_Pruebas_Seguridad" sheetId="6" r:id="Rc0e55e234f944d09"/>
    <x:sheet xmlns:r="http://schemas.openxmlformats.org/officeDocument/2006/relationships" name="06_Hallazgos" sheetId="7" r:id="R207fde1e47ec40aa"/>
    <x:sheet xmlns:r="http://schemas.openxmlformats.org/officeDocument/2006/relationships" name="07_Backlog_Seguridad" sheetId="8" r:id="Rca42df8d0a124e82"/>
    <x:sheet xmlns:r="http://schemas.openxmlformats.org/officeDocument/2006/relationships" name="08_Indicadores" sheetId="9" r:id="R7684050807dd42fb"/>
    <x:sheet xmlns:r="http://schemas.openxmlformats.org/officeDocument/2006/relationships" name="09_Dashboard" sheetId="10" r:id="Rfb72b95d419c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F3D5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f0a49c22614185" /><Relationship Type="http://schemas.openxmlformats.org/officeDocument/2006/relationships/theme" Target="/xl/theme/theme1.xml" Id="R1ef90b9b4434462c" /><Relationship Type="http://schemas.openxmlformats.org/officeDocument/2006/relationships/sharedStrings" Target="/xl/sharedStrings.xml" Id="Rad2a64a3a84f424f" /><Relationship Type="http://schemas.openxmlformats.org/officeDocument/2006/relationships/worksheet" Target="/xl/worksheets/sheet1.xml" Id="Rd9b5391688764be3" /><Relationship Type="http://schemas.openxmlformats.org/officeDocument/2006/relationships/worksheet" Target="/xl/worksheets/sheet2.xml" Id="Rc7dc5cc544ae4ef5" /><Relationship Type="http://schemas.openxmlformats.org/officeDocument/2006/relationships/worksheet" Target="/xl/worksheets/sheet3.xml" Id="Rfb850e33f75f45d6" /><Relationship Type="http://schemas.openxmlformats.org/officeDocument/2006/relationships/worksheet" Target="/xl/worksheets/sheet4.xml" Id="Rda0e3cab600b47d7" /><Relationship Type="http://schemas.openxmlformats.org/officeDocument/2006/relationships/worksheet" Target="/xl/worksheets/sheet5.xml" Id="Ra69cd90363f8406c" /><Relationship Type="http://schemas.openxmlformats.org/officeDocument/2006/relationships/worksheet" Target="/xl/worksheets/sheet6.xml" Id="Rc0e55e234f944d09" /><Relationship Type="http://schemas.openxmlformats.org/officeDocument/2006/relationships/worksheet" Target="/xl/worksheets/sheet7.xml" Id="R207fde1e47ec40aa" /><Relationship Type="http://schemas.openxmlformats.org/officeDocument/2006/relationships/worksheet" Target="/xl/worksheets/sheet8.xml" Id="Rca42df8d0a124e82" /><Relationship Type="http://schemas.openxmlformats.org/officeDocument/2006/relationships/worksheet" Target="/xl/worksheets/sheet9.xml" Id="R7684050807dd42fb" /><Relationship Type="http://schemas.openxmlformats.org/officeDocument/2006/relationships/worksheet" Target="/xl/worksheets/sheet10.xml" Id="Rfb72b95d419c43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3704a7aace47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 requisitos de seguridad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'09_Dashboard'!$D$4:$D$6</c:f>
              <c:strCache>
                <c:ptCount val="0"/>
              </c:strCache>
            </c:strRef>
          </c:cat>
          <c:val>
            <c:numRef>
              <c:f>'09_Dashboard'!$E$4:$E$6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3704a7aace47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71e353ddc3c3486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4" max="4" width="24" hidden="0" customWidth="1"/>
    <x:col min="5" max="5" width="62" hidden="0" customWidth="1"/>
    <x:col min="6" max="6" width="8" hidden="0" customWidth="1"/>
    <x:col min="7" max="7" width="8" hidden="0" customWidth="1"/>
    <x:col min="8" max="8" width="8" hidden="0" customWidth="1"/>
  </x:cols>
  <x:sheetData>
    <x:row r="1" ht="28" customHeight="1">
      <x:c r="A1" s="4" t="str">
        <x:v>LOCALITO - POSTURA DE SEGURIDAD Y PLAN DE DESARROLLO SEGURO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Corte técnico</x:v>
      </x:c>
      <x:c r="B3" s="17" t="str">
        <x:v>09-09-2026</x:v>
      </x:c>
      <x:c r="D3" s="21" t="str">
        <x:v>Lectura ejecutiva</x:v>
      </x:c>
      <x:c r="E3" s="21"/>
      <x:c r="F3" s="21"/>
      <x:c r="G3" s="21"/>
      <x:c r="H3" s="21"/>
    </x:row>
    <x:row r="4">
      <x:c r="A4" s="16" t="str">
        <x:v>Marco académico</x:v>
      </x:c>
      <x:c r="B4" s="17" t="str">
        <x:v>ISO/IEC 27001 · NIST · OWASP, según contenidos del ramo</x:v>
      </x:c>
      <x:c r="D4" s="17" t="str">
        <x:v>Fortaleza</x:v>
      </x:c>
      <x:c r="E4" s="17" t="str">
        <x:v>Contraseñas con scrypt+salt, tokens aleatorios/hasheados, RBAC, tenant isolation y RLS cerrada a Data API.</x:v>
      </x:c>
      <x:c r="F4" s="17"/>
      <x:c r="G4" s="17"/>
      <x:c r="H4" s="17"/>
    </x:row>
    <x:row r="5">
      <x:c r="A5" s="16" t="str">
        <x:v>Arquitectura</x:v>
      </x:c>
      <x:c r="B5" s="17" t="str">
        <x:v>PWA → API Node/Express → PostgreSQL/Supabase</x:v>
      </x:c>
      <x:c r="D5" s="17" t="str">
        <x:v>Fortaleza</x:v>
      </x:c>
      <x:c r="E5" s="17" t="str">
        <x:v>Helmet, CORS de producción, rate limits y respuestas genéricas en recuperación de contraseña.</x:v>
      </x:c>
      <x:c r="F5" s="17"/>
      <x:c r="G5" s="17"/>
      <x:c r="H5" s="17"/>
    </x:row>
    <x:row r="6">
      <x:c r="A6" s="16" t="str">
        <x:v>Autenticación</x:v>
      </x:c>
      <x:c r="B6" s="17" t="str">
        <x:v>Sesiones Bearer; scrypt para contraseñas</x:v>
      </x:c>
      <x:c r="D6" s="17" t="str">
        <x:v>Brecha crítica</x:v>
      </x:c>
      <x:c r="E6" s="17" t="str">
        <x:v>El código contempla un fallback de secreto para sesiones firmadas; producción debe exigir un secreto fuerte configurado y rotado.</x:v>
      </x:c>
      <x:c r="F6" s="17"/>
      <x:c r="G6" s="17"/>
      <x:c r="H6" s="17"/>
    </x:row>
    <x:row r="7">
      <x:c r="A7" s="16" t="str">
        <x:v>Roles</x:v>
      </x:c>
      <x:c r="B7" s="17" t="str">
        <x:v>system_admin · owner · seller</x:v>
      </x:c>
      <x:c r="D7" s="17" t="str">
        <x:v>Brecha</x:v>
      </x:c>
      <x:c r="E7" s="17" t="str">
        <x:v>Los rate limits son mapas en memoria; no son suficientes como control distribuido si la API escala a múltiples instancias/serverless.</x:v>
      </x:c>
      <x:c r="F7" s="17"/>
      <x:c r="G7" s="17"/>
      <x:c r="H7" s="17"/>
    </x:row>
    <x:row r="8">
      <x:c r="A8" s="16" t="str">
        <x:v>Multi-tenant</x:v>
      </x:c>
      <x:c r="B8" s="17" t="str">
        <x:v>tenantId en backend + RLS habilitado + acceso Data API revocado</x:v>
      </x:c>
      <x:c r="D8" s="17" t="str">
        <x:v>Brecha</x:v>
      </x:c>
      <x:c r="E8" s="17" t="str">
        <x:v>CI ejecuta tipos, tests y build, pero no se documentó SAST/SCA/secret scanning como etapa obligatoria.</x:v>
      </x:c>
      <x:c r="F8" s="17"/>
      <x:c r="G8" s="17"/>
      <x:c r="H8" s="17"/>
    </x:row>
    <x:row r="9">
      <x:c r="A9" s="16" t="str">
        <x:v>Seguridad HTTP</x:v>
      </x:c>
      <x:c r="B9" s="17" t="str">
        <x:v>Helmet + CORS con allowlist en producción</x:v>
      </x:c>
      <x:c r="D9" s="17" t="str">
        <x:v>Brecha</x:v>
      </x:c>
      <x:c r="E9" s="17" t="str">
        <x:v>MFA no forma parte del alcance actual; debe evaluarse antes de comercialización con datos reales.</x:v>
      </x:c>
      <x:c r="F9" s="17"/>
      <x:c r="G9" s="17"/>
      <x:c r="H9" s="17"/>
    </x:row>
    <x:row r="10">
      <x:c r="A10" s="16" t="str">
        <x:v>Rate limiting</x:v>
      </x:c>
      <x:c r="B10" s="17" t="str">
        <x:v>Login, recuperación e IA; actualmente en memoria de proceso</x:v>
      </x:c>
      <x:c r="D10" s="17" t="str">
        <x:v>Regla</x:v>
      </x:c>
      <x:c r="E10" s="17" t="str">
        <x:v>No afirmar certificación ISO/NIST/OWASP: se usan como marcos de referencia académica y buenas prácticas.</x:v>
      </x:c>
      <x:c r="F10" s="17"/>
      <x:c r="G10" s="17"/>
      <x:c r="H10" s="17"/>
    </x:row>
    <x:row r="11">
      <x:c r="A11" s="16" t="str">
        <x:v>Auditoría</x:v>
      </x:c>
      <x:c r="B11" s="17" t="str">
        <x:v>Eventos por negocio/usuario y cambios relevantes</x:v>
      </x:c>
    </x:row>
    <x:row r="12">
      <x:c r="A12" s="16" t="str">
        <x:v>Pendientes críticos</x:v>
      </x:c>
      <x:c r="B12" s="17" t="str">
        <x:v>Rotación de secretos; PostgreSQL real; backup/restore; dispositivos físicos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50" hidden="0" customWidth="1"/>
    <x:col min="4" max="4" width="44" hidden="0" customWidth="1"/>
    <x:col min="5" max="5" width="52" hidden="0" customWidth="1"/>
    <x:col min="6" max="6" width="24" hidden="0" customWidth="1"/>
    <x:col min="7" max="7" width="34" hidden="0" customWidth="1"/>
    <x:col min="8" max="8" width="36" hidden="0" customWidth="1"/>
    <x:col min="9" max="9" width="12" hidden="0" customWidth="1"/>
    <x:col min="10" max="10" width="48" hidden="0" customWidth="1"/>
  </x:cols>
  <x:sheetData>
    <x:row r="1" ht="28" customHeight="1">
      <x:c r="A1" s="4" t="str">
        <x:v>REQUERIMIENTOS DE SEGURIDAD - LOCALITO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ID</x:v>
      </x:c>
      <x:c r="B3" s="11" t="str">
        <x:v>Dominio</x:v>
      </x:c>
      <x:c r="C3" s="11" t="str">
        <x:v>Requerimiento</x:v>
      </x:c>
      <x:c r="D3" s="11" t="str">
        <x:v>Justificación</x:v>
      </x:c>
      <x:c r="E3" s="11" t="str">
        <x:v>Control actual</x:v>
      </x:c>
      <x:c r="F3" s="11" t="str">
        <x:v>Estado</x:v>
      </x:c>
      <x:c r="G3" s="11" t="str">
        <x:v>Evidencia</x:v>
      </x:c>
      <x:c r="H3" s="11" t="str">
        <x:v>Riesgo si falta</x:v>
      </x:c>
      <x:c r="I3" s="11" t="str">
        <x:v>Prioridad</x:v>
      </x:c>
      <x:c r="J3" s="11" t="str">
        <x:v>Backlog/acción</x:v>
      </x:c>
    </x:row>
    <x:row r="4">
      <x:c r="A4" s="17" t="str">
        <x:v>SEC-001</x:v>
      </x:c>
      <x:c r="B4" s="17" t="str">
        <x:v>Identidad</x:v>
      </x:c>
      <x:c r="C4" s="17" t="str">
        <x:v>Las contraseñas deben almacenarse mediante derivación resistente con salt único.</x:v>
      </x:c>
      <x:c r="D4" s="17" t="str">
        <x:v>Proteger credenciales ante filtración de la BD.</x:v>
      </x:c>
      <x:c r="E4" s="17" t="str">
        <x:v>scrypt + salt aleatorio; comparación timing-safe.</x:v>
      </x:c>
      <x:c r="F4" s="17" t="str">
        <x:v>Implementado</x:v>
      </x:c>
      <x:c r="G4" s="17" t="str">
        <x:v>apps/api/src/auth.ts</x:v>
      </x:c>
      <x:c r="H4" s="17" t="str">
        <x:v>Compromiso de cuentas.</x:v>
      </x:c>
      <x:c r="I4" s="17" t="str">
        <x:v>Crítica</x:v>
      </x:c>
      <x:c r="J4" s="17" t="str">
        <x:v>Mantener pruebas y parámetros revisables.</x:v>
      </x:c>
    </x:row>
    <x:row r="5">
      <x:c r="A5" s="17" t="str">
        <x:v>SEC-002</x:v>
      </x:c>
      <x:c r="B5" s="17" t="str">
        <x:v>Identidad</x:v>
      </x:c>
      <x:c r="C5" s="17" t="str">
        <x:v>La contraseña debe cumplir política mínima y límites de longitud.</x:v>
      </x:c>
      <x:c r="D5" s="17" t="str">
        <x:v>Reducir claves triviales y abuso de payload.</x:v>
      </x:c>
      <x:c r="E5" s="17" t="str">
        <x:v>10–128 caracteres; letras y números.</x:v>
      </x:c>
      <x:c r="F5" s="17" t="str">
        <x:v>Implementado / básico</x:v>
      </x:c>
      <x:c r="G5" s="17" t="str">
        <x:v>auth.ts + server.ts</x:v>
      </x:c>
      <x:c r="H5" s="17" t="str">
        <x:v>Fuerza bruta / contraseñas débiles.</x:v>
      </x:c>
      <x:c r="I5" s="17" t="str">
        <x:v>Alta</x:v>
      </x:c>
      <x:c r="J5" s="17" t="str">
        <x:v>Evaluar política reforzada y MFA post-tesis.</x:v>
      </x:c>
    </x:row>
    <x:row r="6">
      <x:c r="A6" s="17" t="str">
        <x:v>SEC-003</x:v>
      </x:c>
      <x:c r="B6" s="17" t="str">
        <x:v>Sesiones</x:v>
      </x:c>
      <x:c r="C6" s="17" t="str">
        <x:v>Tokens persistentes no deben almacenarse en claro.</x:v>
      </x:c>
      <x:c r="D6" s="17" t="str">
        <x:v>Limitar impacto de lectura indebida de tabla sesiones.</x:v>
      </x:c>
      <x:c r="E6" s="17" t="str">
        <x:v>Token aleatorio; SHA-256 en persistencia.</x:v>
      </x:c>
      <x:c r="F6" s="17" t="str">
        <x:v>Implementado</x:v>
      </x:c>
      <x:c r="G6" s="17" t="str">
        <x:v>auth.ts + schema.sql</x:v>
      </x:c>
      <x:c r="H6" s="17" t="str">
        <x:v>Secuestro de sesión.</x:v>
      </x:c>
      <x:c r="I6" s="17" t="str">
        <x:v>Crítica</x:v>
      </x:c>
      <x:c r="J6" s="17" t="str">
        <x:v>Mantener expiración/revocación.</x:v>
      </x:c>
    </x:row>
    <x:row r="7">
      <x:c r="A7" s="17" t="str">
        <x:v>SEC-004</x:v>
      </x:c>
      <x:c r="B7" s="17" t="str">
        <x:v>Sesiones</x:v>
      </x:c>
      <x:c r="C7" s="17" t="str">
        <x:v>Producción debe requerir un secreto fuerte para tokens firmados.</x:v>
      </x:c>
      <x:c r="D7" s="17" t="str">
        <x:v>Evitar falsificación de sesiones en modo serverless/memoria.</x:v>
      </x:c>
      <x:c r="E7" s="17" t="str">
        <x:v>HMAC SHA-256; existe cadena de fallback si no se configura secreto.</x:v>
      </x:c>
      <x:c r="F7" s="17" t="str">
        <x:v>Parcial / acción requerida</x:v>
      </x:c>
      <x:c r="G7" s="17" t="str">
        <x:v>server.ts</x:v>
      </x:c>
      <x:c r="H7" s="17" t="str">
        <x:v>Falsificación si se desplegara con secreto predecible.</x:v>
      </x:c>
      <x:c r="I7" s="17" t="str">
        <x:v>Crítica</x:v>
      </x:c>
      <x:c r="J7" s="17" t="str">
        <x:v>Fail-fast en producción si SESSION_SECRET falta; rotar secreto.</x:v>
      </x:c>
    </x:row>
    <x:row r="8">
      <x:c r="A8" s="17" t="str">
        <x:v>SEC-005</x:v>
      </x:c>
      <x:c r="B8" s="17" t="str">
        <x:v>Autorización</x:v>
      </x:c>
      <x:c r="C8" s="17" t="str">
        <x:v>Toda operación protegida debe aplicar autorización server-side por rol.</x:v>
      </x:c>
      <x:c r="D8" s="17" t="str">
        <x:v>La UI no es una frontera de seguridad.</x:v>
      </x:c>
      <x:c r="E8" s="17" t="str">
        <x:v>requireRoles(system_admin/owner/seller).</x:v>
      </x:c>
      <x:c r="F8" s="17" t="str">
        <x:v>Implementado</x:v>
      </x:c>
      <x:c r="G8" s="17" t="str">
        <x:v>server.ts</x:v>
      </x:c>
      <x:c r="H8" s="17" t="str">
        <x:v>Escalamiento de privilegios.</x:v>
      </x:c>
      <x:c r="I8" s="17" t="str">
        <x:v>Crítica</x:v>
      </x:c>
      <x:c r="J8" s="17" t="str">
        <x:v>Mantener pruebas negativas de rol.</x:v>
      </x:c>
    </x:row>
    <x:row r="9">
      <x:c r="A9" s="17" t="str">
        <x:v>SEC-006</x:v>
      </x:c>
      <x:c r="B9" s="17" t="str">
        <x:v>Multi-tenant</x:v>
      </x:c>
      <x:c r="C9" s="17" t="str">
        <x:v>Toda lectura/escritura debe quedar asociada al negocio autenticado.</x:v>
      </x:c>
      <x:c r="D9" s="17" t="str">
        <x:v>Prevenir fuga entre comercios.</x:v>
      </x:c>
      <x:c r="E9" s="17" t="str">
        <x:v>tenantId desde sesión; repositorio por tenant; negocio_id en tablas.</x:v>
      </x:c>
      <x:c r="F9" s="17" t="str">
        <x:v>Implementado / validar</x:v>
      </x:c>
      <x:c r="G9" s="17" t="str">
        <x:v>server.ts + schema.sql</x:v>
      </x:c>
      <x:c r="H9" s="17" t="str">
        <x:v>Exposición cruzada de datos.</x:v>
      </x:c>
      <x:c r="I9" s="17" t="str">
        <x:v>Crítica</x:v>
      </x:c>
      <x:c r="J9" s="17" t="str">
        <x:v>Pruebas multi-tenant en PostgreSQL real.</x:v>
      </x:c>
    </x:row>
    <x:row r="10">
      <x:c r="A10" s="17" t="str">
        <x:v>SEC-007</x:v>
      </x:c>
      <x:c r="B10" s="17" t="str">
        <x:v>Base de datos</x:v>
      </x:c>
      <x:c r="C10" s="17" t="str">
        <x:v>La Data API no debe exponer tablas de negocio directamente al navegador.</x:v>
      </x:c>
      <x:c r="D10" s="17" t="str">
        <x:v>Defensa en profundidad.</x:v>
      </x:c>
      <x:c r="E10" s="17" t="str">
        <x:v>RLS habilitado; privilegios revocados a anon/authenticated.</x:v>
      </x:c>
      <x:c r="F10" s="17" t="str">
        <x:v>Implementado en esquema</x:v>
      </x:c>
      <x:c r="G10" s="17" t="str">
        <x:v>schema.sql</x:v>
      </x:c>
      <x:c r="H10" s="17" t="str">
        <x:v>Bypass de API / acceso directo.</x:v>
      </x:c>
      <x:c r="I10" s="17" t="str">
        <x:v>Crítica</x:v>
      </x:c>
      <x:c r="J10" s="17" t="str">
        <x:v>Verificar configuración efectiva en Supabase.</x:v>
      </x:c>
    </x:row>
    <x:row r="11">
      <x:c r="A11" s="17" t="str">
        <x:v>SEC-008</x:v>
      </x:c>
      <x:c r="B11" s="17" t="str">
        <x:v>Red/HTTP</x:v>
      </x:c>
      <x:c r="C11" s="17" t="str">
        <x:v>El backend debe restringir orígenes y aplicar headers defensivos.</x:v>
      </x:c>
      <x:c r="D11" s="17" t="str">
        <x:v>Reducir abuso cross-origin y fallos de cabeceras.</x:v>
      </x:c>
      <x:c r="E11" s="17" t="str">
        <x:v>Helmet + CORS; producción solo orígenes configurados/vercel.</x:v>
      </x:c>
      <x:c r="F11" s="17" t="str">
        <x:v>Implementado</x:v>
      </x:c>
      <x:c r="G11" s="17" t="str">
        <x:v>server.ts</x:v>
      </x:c>
      <x:c r="H11" s="17" t="str">
        <x:v>CORS permisivo / headers débiles.</x:v>
      </x:c>
      <x:c r="I11" s="17" t="str">
        <x:v>Alta</x:v>
      </x:c>
      <x:c r="J11" s="17" t="str">
        <x:v>Revisar CSP real al desplegar.</x:v>
      </x:c>
    </x:row>
    <x:row r="12">
      <x:c r="A12" s="17" t="str">
        <x:v>SEC-009</x:v>
      </x:c>
      <x:c r="B12" s="17" t="str">
        <x:v>Abuso</x:v>
      </x:c>
      <x:c r="C12" s="17" t="str">
        <x:v>Login y recuperación deben limitar intentos.</x:v>
      </x:c>
      <x:c r="D12" s="17" t="str">
        <x:v>Reducir fuerza bruta/abuso.</x:v>
      </x:c>
      <x:c r="E12" s="17" t="str">
        <x:v>10 intentos login/15 min; reset 5/10 por IP.</x:v>
      </x:c>
      <x:c r="F12" s="17" t="str">
        <x:v>Implementado / limitado</x:v>
      </x:c>
      <x:c r="G12" s="17" t="str">
        <x:v>server.ts</x:v>
      </x:c>
      <x:c r="H12" s="17" t="str">
        <x:v>Fuerza bruta / spam.</x:v>
      </x:c>
      <x:c r="I12" s="17" t="str">
        <x:v>Alta</x:v>
      </x:c>
      <x:c r="J12" s="17" t="str">
        <x:v>Mover a store compartido si escala.</x:v>
      </x:c>
    </x:row>
    <x:row r="13">
      <x:c r="A13" s="17" t="str">
        <x:v>SEC-010</x:v>
      </x:c>
      <x:c r="B13" s="17" t="str">
        <x:v>Recuperación</x:v>
      </x:c>
      <x:c r="C13" s="17" t="str">
        <x:v>La recuperación no debe revelar si existe un correo.</x:v>
      </x:c>
      <x:c r="D13" s="17" t="str">
        <x:v>Evitar enumeración de cuentas.</x:v>
      </x:c>
      <x:c r="E13" s="17" t="str">
        <x:v>Respuesta genérica 202 y token hasheado/expirable.</x:v>
      </x:c>
      <x:c r="F13" s="17" t="str">
        <x:v>Implementado</x:v>
      </x:c>
      <x:c r="G13" s="17" t="str">
        <x:v>server.ts + schema.sql</x:v>
      </x:c>
      <x:c r="H13" s="17" t="str">
        <x:v>Enumeración / secuestro de cuenta.</x:v>
      </x:c>
      <x:c r="I13" s="17" t="str">
        <x:v>Alta</x:v>
      </x:c>
      <x:c r="J13" s="17" t="str">
        <x:v>Mantener prueba de no enumeración.</x:v>
      </x:c>
    </x:row>
    <x:row r="14">
      <x:c r="A14" s="17" t="str">
        <x:v>SEC-011</x:v>
      </x:c>
      <x:c r="B14" s="17" t="str">
        <x:v>Validación</x:v>
      </x:c>
      <x:c r="C14" s="17" t="str">
        <x:v>Entradas transaccionales deben validarse antes de mutar datos.</x:v>
      </x:c>
      <x:c r="D14" s="17" t="str">
        <x:v>Proteger integridad de venta, pagos y stock.</x:v>
      </x:c>
      <x:c r="E14" s="17" t="str">
        <x:v>Validación de venta, límites, IDs, montos y medios.</x:v>
      </x:c>
      <x:c r="F14" s="17" t="str">
        <x:v>Implementado</x:v>
      </x:c>
      <x:c r="G14" s="17" t="str">
        <x:v>saleValidation + Estado-Actual</x:v>
      </x:c>
      <x:c r="H14" s="17" t="str">
        <x:v>Corrupción lógica / datos inválidos.</x:v>
      </x:c>
      <x:c r="I14" s="17" t="str">
        <x:v>Crítica</x:v>
      </x:c>
      <x:c r="J14" s="17" t="str">
        <x:v>Mantener casos negativos.</x:v>
      </x:c>
    </x:row>
    <x:row r="15">
      <x:c r="A15" s="17" t="str">
        <x:v>SEC-012</x:v>
      </x:c>
      <x:c r="B15" s="17" t="str">
        <x:v>Auditoría</x:v>
      </x:c>
      <x:c r="C15" s="17" t="str">
        <x:v>Acciones relevantes deben dejar trazabilidad por usuario/negocio.</x:v>
      </x:c>
      <x:c r="D15" s="17" t="str">
        <x:v>Investigación y no repudio operacional.</x:v>
      </x:c>
      <x:c r="E15" s="17" t="str">
        <x:v>Tabla auditoria + consultas y eventos.</x:v>
      </x:c>
      <x:c r="F15" s="17" t="str">
        <x:v>Implementado</x:v>
      </x:c>
      <x:c r="G15" s="17" t="str">
        <x:v>schema.sql + Estado-Actual</x:v>
      </x:c>
      <x:c r="H15" s="17" t="str">
        <x:v>Dificultad para investigar incidentes.</x:v>
      </x:c>
      <x:c r="I15" s="17" t="str">
        <x:v>Alta</x:v>
      </x:c>
      <x:c r="J15" s="17" t="str">
        <x:v>Definir retención/backup de auditoría.</x:v>
      </x:c>
    </x:row>
    <x:row r="16">
      <x:c r="A16" s="17" t="str">
        <x:v>SEC-013</x:v>
      </x:c>
      <x:c r="B16" s="17" t="str">
        <x:v>Secretos</x:v>
      </x:c>
      <x:c r="C16" s="17" t="str">
        <x:v>Claves de BD, IA, correo y sesión no deben estar en cliente ni documentación.</x:v>
      </x:c>
      <x:c r="D16" s="17" t="str">
        <x:v>Evitar exposición irreversible.</x:v>
      </x:c>
      <x:c r="E16" s="17" t="str">
        <x:v>Variables server-side; pendiente explícito de rotar credenciales históricas.</x:v>
      </x:c>
      <x:c r="F16" s="17" t="str">
        <x:v>Parcial</x:v>
      </x:c>
      <x:c r="G16" s="17" t="str">
        <x:v>Estado-Actual</x:v>
      </x:c>
      <x:c r="H16" s="17" t="str">
        <x:v>Compromiso de proveedor o datos.</x:v>
      </x:c>
      <x:c r="I16" s="17" t="str">
        <x:v>Crítica</x:v>
      </x:c>
      <x:c r="J16" s="17" t="str">
        <x:v>Rotar y activar secret scanning.</x:v>
      </x:c>
    </x:row>
    <x:row r="17">
      <x:c r="A17" s="17" t="str">
        <x:v>SEC-014</x:v>
      </x:c>
      <x:c r="B17" s="17" t="str">
        <x:v>Vulnerabilidades</x:v>
      </x:c>
      <x:c r="C17" s="17" t="str">
        <x:v>Dependencias y código deben revisarse de forma continua.</x:v>
      </x:c>
      <x:c r="D17" s="17" t="str">
        <x:v>Reducir vulnerabilidades conocidas y defectos de seguridad.</x:v>
      </x:c>
      <x:c r="E17" s="17" t="str">
        <x:v>CI: npm ci + npm run check; no evidencia de SAST/SCA dedicado.</x:v>
      </x:c>
      <x:c r="F17" s="17" t="str">
        <x:v>Parcial</x:v>
      </x:c>
      <x:c r="G17" s="17" t="str">
        <x:v>ci.yml</x:v>
      </x:c>
      <x:c r="H17" s="17" t="str">
        <x:v>Dependencias vulnerables / fallos no detectados.</x:v>
      </x:c>
      <x:c r="I17" s="17" t="str">
        <x:v>Alta</x:v>
      </x:c>
      <x:c r="J17" s="17" t="str">
        <x:v>Agregar SCA/SAST/secret scanning al CI.</x:v>
      </x:c>
    </x:row>
    <x:row r="18">
      <x:c r="A18" s="17" t="str">
        <x:v>SEC-015</x:v>
      </x:c>
      <x:c r="B18" s="17" t="str">
        <x:v>Continuidad</x:v>
      </x:c>
      <x:c r="C18" s="17" t="str">
        <x:v>Backups deben poder restaurarse antes de usar datos reales.</x:v>
      </x:c>
      <x:c r="D18" s="17" t="str">
        <x:v>Disponibilidad e integridad.</x:v>
      </x:c>
      <x:c r="E18" s="17" t="str">
        <x:v>Pendiente de validar restore en ambiente separado.</x:v>
      </x:c>
      <x:c r="F18" s="17" t="str">
        <x:v>Pendiente</x:v>
      </x:c>
      <x:c r="G18" s="17" t="str">
        <x:v>Estado-Actual</x:v>
      </x:c>
      <x:c r="H18" s="17" t="str">
        <x:v>Pérdida prolongada de datos.</x:v>
      </x:c>
      <x:c r="I18" s="17" t="str">
        <x:v>Crítica</x:v>
      </x:c>
      <x:c r="J18" s="17" t="str">
        <x:v>Ejecutar backup/restore y registrar evidencia.</x:v>
      </x:c>
    </x:row>
    <x:row r="19">
      <x:c r="A19" s="17" t="str">
        <x:v>SEC-016</x:v>
      </x:c>
      <x:c r="B19" s="17" t="str">
        <x:v>Privacidad/IA</x:v>
      </x:c>
      <x:c r="C19" s="17" t="str">
        <x:v>La IA debe recibir solo datos necesarios y nunca ser fuente de verdad operacional.</x:v>
      </x:c>
      <x:c r="D19" s="17" t="str">
        <x:v>Minimización y control humano.</x:v>
      </x:c>
      <x:c r="E19" s="17" t="str">
        <x:v>Catálogo acotado + propuesta + confirmación humana.</x:v>
      </x:c>
      <x:c r="F19" s="17" t="str">
        <x:v>Implementado conceptualmente</x:v>
      </x:c>
      <x:c r="G19" s="17" t="str">
        <x:v>Arquitectura/Estado-Actual</x:v>
      </x:c>
      <x:c r="H19" s="17" t="str">
        <x:v>Exposición innecesaria / error automatizado.</x:v>
      </x:c>
      <x:c r="I19" s="17" t="str">
        <x:v>Alta</x:v>
      </x:c>
      <x:c r="J19" s="17" t="str">
        <x:v>Documentar minimización por flujo y proveedor.</x:v>
      </x:c>
    </x:row>
  </x:sheetData>
  <x:mergeCells>
    <x:mergeCell ref="A1:J1"/>
  </x:mergeCells>
  <x:conditionalFormatting sqref="F4:F19">
    <x:cfRule type="expression" dxfId="0" priority="1">
      <x:formula>LEFT(F4,11)="Implementado"</x:formula>
    </x:cfRule>
    <x:cfRule type="expression" dxfId="1" priority="2">
      <x:formula>OR(LEFT(F4,7)="Parcial",LEFT(F4,11)="Implementado /")</x:formula>
    </x:cfRule>
    <x:cfRule type="expression" dxfId="2" priority="3">
      <x:formula>LEFT(F4,9)="Pendiente"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  <x:col min="7" max="7" width="46" hidden="0" customWidth="1"/>
    <x:col min="8" max="8" width="42" hidden="0" customWidth="1"/>
    <x:col min="9" max="9" width="42" hidden="0" customWidth="1"/>
  </x:cols>
  <x:sheetData>
    <x:row r="1" ht="28" customHeight="1">
      <x:c r="A1" s="4" t="str">
        <x:v>ACTIVOS, DATOS Y CLASIFICACIÓN DE SEGURIDAD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1" t="str">
        <x:v>Activo</x:v>
      </x:c>
      <x:c r="B3" s="11" t="str">
        <x:v>Datos</x:v>
      </x:c>
      <x:c r="C3" s="11" t="str">
        <x:v>Confidencialidad</x:v>
      </x:c>
      <x:c r="D3" s="11" t="str">
        <x:v>Integridad</x:v>
      </x:c>
      <x:c r="E3" s="11" t="str">
        <x:v>Disponibilidad</x:v>
      </x:c>
      <x:c r="F3" s="11" t="str">
        <x:v>Propietario funcional</x:v>
      </x:c>
      <x:c r="G3" s="11" t="str">
        <x:v>Controles actuales</x:v>
      </x:c>
      <x:c r="H3" s="11" t="str">
        <x:v>Riesgo principal</x:v>
      </x:c>
      <x:c r="I3" s="11" t="str">
        <x:v>Tratamiento</x:v>
      </x:c>
    </x:row>
    <x:row r="4">
      <x:c r="A4" s="17" t="str">
        <x:v>Cuentas de usuario</x:v>
      </x:c>
      <x:c r="B4" s="17" t="str">
        <x:v>Nombre, correo, hash de contraseña, rol</x:v>
      </x:c>
      <x:c r="C4" s="17" t="str">
        <x:v>Alta</x:v>
      </x:c>
      <x:c r="D4" s="17" t="str">
        <x:v>Alta</x:v>
      </x:c>
      <x:c r="E4" s="17" t="str">
        <x:v>Alta</x:v>
      </x:c>
      <x:c r="F4" s="17" t="str">
        <x:v>Dueño / plataforma</x:v>
      </x:c>
      <x:c r="G4" s="17" t="str">
        <x:v>Hash scrypt; sesiones; roles; reset</x:v>
      </x:c>
      <x:c r="H4" s="17" t="str">
        <x:v>Account takeover</x:v>
      </x:c>
      <x:c r="I4" s="17" t="str">
        <x:v>Hardening de identidad y secretos.</x:v>
      </x:c>
    </x:row>
    <x:row r="5">
      <x:c r="A5" s="17" t="str">
        <x:v>Datos de negocio</x:v>
      </x:c>
      <x:c r="B5" s="17" t="str">
        <x:v>Productos, costos, precios, stock</x:v>
      </x:c>
      <x:c r="C5" s="17" t="str">
        <x:v>Media/Alta</x:v>
      </x:c>
      <x:c r="D5" s="17" t="str">
        <x:v>Crítica</x:v>
      </x:c>
      <x:c r="E5" s="17" t="str">
        <x:v>Alta</x:v>
      </x:c>
      <x:c r="F5" s="17" t="str">
        <x:v>Negocio</x:v>
      </x:c>
      <x:c r="G5" s="17" t="str">
        <x:v>tenant isolation; RLS; auditoría</x:v>
      </x:c>
      <x:c r="H5" s="17" t="str">
        <x:v>Fuga o alteración entre negocios</x:v>
      </x:c>
      <x:c r="I5" s="17" t="str">
        <x:v>Pruebas multi-tenant + backup.</x:v>
      </x:c>
    </x:row>
    <x:row r="6">
      <x:c r="A6" s="17" t="str">
        <x:v>Ventas y caja</x:v>
      </x:c>
      <x:c r="B6" s="17" t="str">
        <x:v>Ventas, pagos registrados, cierres, movimientos</x:v>
      </x:c>
      <x:c r="C6" s="17" t="str">
        <x:v>Alta</x:v>
      </x:c>
      <x:c r="D6" s="17" t="str">
        <x:v>Crítica</x:v>
      </x:c>
      <x:c r="E6" s="17" t="str">
        <x:v>Crítica</x:v>
      </x:c>
      <x:c r="F6" s="17" t="str">
        <x:v>Negocio</x:v>
      </x:c>
      <x:c r="G6" s="17" t="str">
        <x:v>validaciones, idempotencia, auditoría</x:v>
      </x:c>
      <x:c r="H6" s="17" t="str">
        <x:v>Duplicidad / inconsistencia</x:v>
      </x:c>
      <x:c r="I6" s="17" t="str">
        <x:v>Pruebas PostgreSQL concurrentes.</x:v>
      </x:c>
    </x:row>
    <x:row r="7">
      <x:c r="A7" s="17" t="str">
        <x:v>Clientes y fiado</x:v>
      </x:c>
      <x:c r="B7" s="17" t="str">
        <x:v>Nombre, teléfono, email, deuda y abonos</x:v>
      </x:c>
      <x:c r="C7" s="17" t="str">
        <x:v>Alta</x:v>
      </x:c>
      <x:c r="D7" s="17" t="str">
        <x:v>Crítica</x:v>
      </x:c>
      <x:c r="E7" s="17" t="str">
        <x:v>Alta</x:v>
      </x:c>
      <x:c r="F7" s="17" t="str">
        <x:v>Negocio</x:v>
      </x:c>
      <x:c r="G7" s="17" t="str">
        <x:v>tenant isolation; roles; auditoría</x:v>
      </x:c>
      <x:c r="H7" s="17" t="str">
        <x:v>Exposición de datos personales / saldo incorrecto</x:v>
      </x:c>
      <x:c r="I7" s="17" t="str">
        <x:v>Minimización + pruebas de acceso.</x:v>
      </x:c>
    </x:row>
    <x:row r="8">
      <x:c r="A8" s="17" t="str">
        <x:v>Proveedores/compras</x:v>
      </x:c>
      <x:c r="B8" s="17" t="str">
        <x:v>Contacto, órdenes, costos</x:v>
      </x:c>
      <x:c r="C8" s="17" t="str">
        <x:v>Media/Alta</x:v>
      </x:c>
      <x:c r="D8" s="17" t="str">
        <x:v>Alta</x:v>
      </x:c>
      <x:c r="E8" s="17" t="str">
        <x:v>Media</x:v>
      </x:c>
      <x:c r="F8" s="17" t="str">
        <x:v>Negocio</x:v>
      </x:c>
      <x:c r="G8" s="17" t="str">
        <x:v>roles; tenant isolation</x:v>
      </x:c>
      <x:c r="H8" s="17" t="str">
        <x:v>Exposición comercial / alteración</x:v>
      </x:c>
      <x:c r="I8" s="17" t="str">
        <x:v>Autorización y auditoría.</x:v>
      </x:c>
    </x:row>
    <x:row r="9">
      <x:c r="A9" s="17" t="str">
        <x:v>Sesiones</x:v>
      </x:c>
      <x:c r="B9" s="17" t="str">
        <x:v>Token hash, expiración, revocación</x:v>
      </x:c>
      <x:c r="C9" s="17" t="str">
        <x:v>Crítica</x:v>
      </x:c>
      <x:c r="D9" s="17" t="str">
        <x:v>Crítica</x:v>
      </x:c>
      <x:c r="E9" s="17" t="str">
        <x:v>Alta</x:v>
      </x:c>
      <x:c r="F9" s="17" t="str">
        <x:v>Plataforma</x:v>
      </x:c>
      <x:c r="G9" s="17" t="str">
        <x:v>hash token; expiración; revoke</x:v>
      </x:c>
      <x:c r="H9" s="17" t="str">
        <x:v>Secuestro de sesión</x:v>
      </x:c>
      <x:c r="I9" s="17" t="str">
        <x:v>Secreto fuerte + almacenamiento seguro.</x:v>
      </x:c>
    </x:row>
    <x:row r="10">
      <x:c r="A10" s="17" t="str">
        <x:v>Tokens de reset</x:v>
      </x:c>
      <x:c r="B10" s="17" t="str">
        <x:v>Hash, expiración, uso</x:v>
      </x:c>
      <x:c r="C10" s="17" t="str">
        <x:v>Crítica</x:v>
      </x:c>
      <x:c r="D10" s="17" t="str">
        <x:v>Crítica</x:v>
      </x:c>
      <x:c r="E10" s="17" t="str">
        <x:v>Media</x:v>
      </x:c>
      <x:c r="F10" s="17" t="str">
        <x:v>Plataforma</x:v>
      </x:c>
      <x:c r="G10" s="17" t="str">
        <x:v>hash, 30 min, one-time</x:v>
      </x:c>
      <x:c r="H10" s="17" t="str">
        <x:v>Secuestro de cuenta</x:v>
      </x:c>
      <x:c r="I10" s="17" t="str">
        <x:v>Rate limit y no enumeración.</x:v>
      </x:c>
    </x:row>
    <x:row r="11">
      <x:c r="A11" s="17" t="str">
        <x:v>Auditoría</x:v>
      </x:c>
      <x:c r="B11" s="17" t="str">
        <x:v>Usuario, entidad, cambios, fecha</x:v>
      </x:c>
      <x:c r="C11" s="17" t="str">
        <x:v>Alta</x:v>
      </x:c>
      <x:c r="D11" s="17" t="str">
        <x:v>Crítica</x:v>
      </x:c>
      <x:c r="E11" s="17" t="str">
        <x:v>Alta</x:v>
      </x:c>
      <x:c r="F11" s="17" t="str">
        <x:v>Plataforma/negocio</x:v>
      </x:c>
      <x:c r="G11" s="17" t="str">
        <x:v>registro por tenant</x:v>
      </x:c>
      <x:c r="H11" s="17" t="str">
        <x:v>Borrado/tampering o retención insuficiente</x:v>
      </x:c>
      <x:c r="I11" s="17" t="str">
        <x:v>Backup/retención y acceso restringido.</x:v>
      </x:c>
    </x:row>
    <x:row r="12">
      <x:c r="A12" s="17" t="str">
        <x:v>Imágenes</x:v>
      </x:c>
      <x:c r="B12" s="17" t="str">
        <x:v>Fotos de productos / facturas procesadas</x:v>
      </x:c>
      <x:c r="C12" s="17" t="str">
        <x:v>Media/Alta</x:v>
      </x:c>
      <x:c r="D12" s="17" t="str">
        <x:v>Media</x:v>
      </x:c>
      <x:c r="E12" s="17" t="str">
        <x:v>Media</x:v>
      </x:c>
      <x:c r="F12" s="17" t="str">
        <x:v>Negocio</x:v>
      </x:c>
      <x:c r="G12" s="17" t="str">
        <x:v>validación de imagen; procesamiento server-side</x:v>
      </x:c>
      <x:c r="H12" s="17" t="str">
        <x:v>Datos sensibles en factura / crecimiento de BD</x:v>
      </x:c>
      <x:c r="I12" s="17" t="str">
        <x:v>Minimización y object storage futuro.</x:v>
      </x:c>
    </x:row>
    <x:row r="13">
      <x:c r="A13" s="17" t="str">
        <x:v>Secretos de infraestructura</x:v>
      </x:c>
      <x:c r="B13" s="17" t="str">
        <x:v>BD, sesión, IA, correo</x:v>
      </x:c>
      <x:c r="C13" s="17" t="str">
        <x:v>Crítica</x:v>
      </x:c>
      <x:c r="D13" s="17" t="str">
        <x:v>Crítica</x:v>
      </x:c>
      <x:c r="E13" s="17" t="str">
        <x:v>Crítica</x:v>
      </x:c>
      <x:c r="F13" s="17" t="str">
        <x:v>Plataforma</x:v>
      </x:c>
      <x:c r="G13" s="17" t="str">
        <x:v>variables privadas server-side</x:v>
      </x:c>
      <x:c r="H13" s="17" t="str">
        <x:v>Filtración de secretos</x:v>
      </x:c>
      <x:c r="I13" s="17" t="str">
        <x:v>Rotación + secret scanning.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24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44" hidden="0" customWidth="1"/>
    <x:col min="9" max="9" width="38" hidden="0" customWidth="1"/>
    <x:col min="10" max="10" width="40" hidden="0" customWidth="1"/>
    <x:col min="11" max="11" width="22" hidden="0" customWidth="1"/>
    <x:col min="12" max="12" width="40" hidden="0" customWidth="1"/>
  </x:cols>
  <x:sheetData>
    <x:row r="1" ht="28" customHeight="1">
      <x:c r="A1" s="4" t="str">
        <x:v>MATRIZ DE AMENAZAS Y CONTROLES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1" t="str">
        <x:v>ID</x:v>
      </x:c>
      <x:c r="B3" s="11" t="str">
        <x:v>Escenario de amenaza</x:v>
      </x:c>
      <x:c r="C3" s="11" t="str">
        <x:v>Activo</x:v>
      </x:c>
      <x:c r="D3" s="11" t="str">
        <x:v>CIA afectada</x:v>
      </x:c>
      <x:c r="E3" s="11" t="str">
        <x:v>Prob.</x:v>
      </x:c>
      <x:c r="F3" s="11" t="str">
        <x:v>Impacto</x:v>
      </x:c>
      <x:c r="G3" s="11" t="str">
        <x:v>Nivel</x:v>
      </x:c>
      <x:c r="H3" s="11" t="str">
        <x:v>Control preventivo</x:v>
      </x:c>
      <x:c r="I3" s="11" t="str">
        <x:v>Control detectivo</x:v>
      </x:c>
      <x:c r="J3" s="11" t="str">
        <x:v>Control correctivo</x:v>
      </x:c>
      <x:c r="K3" s="11" t="str">
        <x:v>Estado</x:v>
      </x:c>
      <x:c r="L3" s="11" t="str">
        <x:v>Acción</x:v>
      </x:c>
    </x:row>
    <x:row r="4">
      <x:c r="A4" s="17" t="str">
        <x:v>T-01</x:v>
      </x:c>
      <x:c r="B4" s="17" t="str">
        <x:v>Atacante intenta fuerza bruta contra login</x:v>
      </x:c>
      <x:c r="C4" s="17" t="str">
        <x:v>Cuenta</x:v>
      </x:c>
      <x:c r="D4" s="17" t="str">
        <x:v>C</x:v>
      </x:c>
      <x:c r="E4" s="17" t="str">
        <x:v>Media</x:v>
      </x:c>
      <x:c r="F4" s="17" t="str">
        <x:v>Alta</x:v>
      </x:c>
      <x:c r="G4" s="17" t="str">
        <x:v>Alto</x:v>
      </x:c>
      <x:c r="H4" s="17" t="str">
        <x:v>Rate limit, política de clave, hash scrypt</x:v>
      </x:c>
      <x:c r="I4" s="17" t="str">
        <x:v>Logs HTTP / intentos 429</x:v>
      </x:c>
      <x:c r="J4" s="17" t="str">
        <x:v>Reset de contraseña / bloquear origen futuro</x:v>
      </x:c>
      <x:c r="K4" s="17" t="str">
        <x:v>Parcial</x:v>
      </x:c>
      <x:c r="L4" s="17" t="str">
        <x:v>Store distribuido + MFA roadmap.</x:v>
      </x:c>
    </x:row>
    <x:row r="5">
      <x:c r="A5" s="17" t="str">
        <x:v>T-02</x:v>
      </x:c>
      <x:c r="B5" s="17" t="str">
        <x:v>Token de sesión es robado</x:v>
      </x:c>
      <x:c r="C5" s="17" t="str">
        <x:v>Sesión</x:v>
      </x:c>
      <x:c r="D5" s="17" t="str">
        <x:v>C/I</x:v>
      </x:c>
      <x:c r="E5" s="17" t="str">
        <x:v>Baja/Media</x:v>
      </x:c>
      <x:c r="F5" s="17" t="str">
        <x:v>Crítico</x:v>
      </x:c>
      <x:c r="G5" s="17" t="str">
        <x:v>Alto</x:v>
      </x:c>
      <x:c r="H5" s="17" t="str">
        <x:v>Token aleatorio; hash en BD; HTTPS de despliegue</x:v>
      </x:c>
      <x:c r="I5" s="17" t="str">
        <x:v>Auditoría y anomalías de sesión por diseñar</x:v>
      </x:c>
      <x:c r="J5" s="17" t="str">
        <x:v>Revocar sesión / rotar secreto</x:v>
      </x:c>
      <x:c r="K5" s="17" t="str">
        <x:v>Parcial</x:v>
      </x:c>
      <x:c r="L5" s="17" t="str">
        <x:v>Revisar almacenamiento cliente y revocación masiva.</x:v>
      </x:c>
    </x:row>
    <x:row r="6">
      <x:c r="A6" s="17" t="str">
        <x:v>T-03</x:v>
      </x:c>
      <x:c r="B6" s="17" t="str">
        <x:v>Consulta omite tenantId y expone otro negocio</x:v>
      </x:c>
      <x:c r="C6" s="17" t="str">
        <x:v>Datos negocio</x:v>
      </x:c>
      <x:c r="D6" s="17" t="str">
        <x:v>C</x:v>
      </x:c>
      <x:c r="E6" s="17" t="str">
        <x:v>Baja</x:v>
      </x:c>
      <x:c r="F6" s="17" t="str">
        <x:v>Crítico</x:v>
      </x:c>
      <x:c r="G6" s="17" t="str">
        <x:v>Alto</x:v>
      </x:c>
      <x:c r="H6" s="17" t="str">
        <x:v>tenantId server-side + RLS cerrada + privilegios revocados</x:v>
      </x:c>
      <x:c r="I6" s="17" t="str">
        <x:v>Pruebas multi-tenant</x:v>
      </x:c>
      <x:c r="J6" s="17" t="str">
        <x:v>Corregir consulta; invalidar acceso; revisar logs</x:v>
      </x:c>
      <x:c r="K6" s="17" t="str">
        <x:v>Parcial validado</x:v>
      </x:c>
      <x:c r="L6" s="17" t="str">
        <x:v>Prueba PostgreSQL real automatizada.</x:v>
      </x:c>
    </x:row>
    <x:row r="7">
      <x:c r="A7" s="17" t="str">
        <x:v>T-04</x:v>
      </x:c>
      <x:c r="B7" s="17" t="str">
        <x:v>Credencial histórica sigue activa</x:v>
      </x:c>
      <x:c r="C7" s="17" t="str">
        <x:v>Secretos</x:v>
      </x:c>
      <x:c r="D7" s="17" t="str">
        <x:v>C/I/A</x:v>
      </x:c>
      <x:c r="E7" s="17" t="str">
        <x:v>Alta</x:v>
      </x:c>
      <x:c r="F7" s="17" t="str">
        <x:v>Crítico</x:v>
      </x:c>
      <x:c r="G7" s="17" t="str">
        <x:v>Alto</x:v>
      </x:c>
      <x:c r="H7" s="17" t="str">
        <x:v>Variables server-side</x:v>
      </x:c>
      <x:c r="I7" s="17" t="str">
        <x:v>Revisión de configuración/secret scanning pendiente</x:v>
      </x:c>
      <x:c r="J7" s="17" t="str">
        <x:v>Rotación inmediata</x:v>
      </x:c>
      <x:c r="K7" s="17" t="str">
        <x:v>Acción requerida</x:v>
      </x:c>
      <x:c r="L7" s="17" t="str">
        <x:v>TASK-068.</x:v>
      </x:c>
    </x:row>
    <x:row r="8">
      <x:c r="A8" s="17" t="str">
        <x:v>T-05</x:v>
      </x:c>
      <x:c r="B8" s="17" t="str">
        <x:v>Payload manipula venta/pago/stock</x:v>
      </x:c>
      <x:c r="C8" s="17" t="str">
        <x:v>Ventas/caja</x:v>
      </x:c>
      <x:c r="D8" s="17" t="str">
        <x:v>I</x:v>
      </x:c>
      <x:c r="E8" s="17" t="str">
        <x:v>Media</x:v>
      </x:c>
      <x:c r="F8" s="17" t="str">
        <x:v>Crítico</x:v>
      </x:c>
      <x:c r="G8" s="17" t="str">
        <x:v>Alto</x:v>
      </x:c>
      <x:c r="H8" s="17" t="str">
        <x:v>saleValidation, roles, transacciones/idempotencia</x:v>
      </x:c>
      <x:c r="I8" s="17" t="str">
        <x:v>Pruebas negativas y auditoría</x:v>
      </x:c>
      <x:c r="J8" s="17" t="str">
        <x:v>Rollback/reverso según dominio</x:v>
      </x:c>
      <x:c r="K8" s="17" t="str">
        <x:v>Implementado / validar</x:v>
      </x:c>
      <x:c r="L8" s="17" t="str">
        <x:v>Cerrar concurrencia PostgreSQL.</x:v>
      </x:c>
    </x:row>
    <x:row r="9">
      <x:c r="A9" s="17" t="str">
        <x:v>T-06</x:v>
      </x:c>
      <x:c r="B9" s="17" t="str">
        <x:v>Proveedor IA retorna contenido incorrecto</x:v>
      </x:c>
      <x:c r="C9" s="17" t="str">
        <x:v>Venta Rápida / factura</x:v>
      </x:c>
      <x:c r="D9" s="17" t="str">
        <x:v>I</x:v>
      </x:c>
      <x:c r="E9" s="17" t="str">
        <x:v>Media</x:v>
      </x:c>
      <x:c r="F9" s="17" t="str">
        <x:v>Moderado</x:v>
      </x:c>
      <x:c r="G9" s="17" t="str">
        <x:v>Medio</x:v>
      </x:c>
      <x:c r="H9" s="17" t="str">
        <x:v>Lista de IDs válidos; human-in-the-loop</x:v>
      </x:c>
      <x:c r="I9" s="17" t="str">
        <x:v>Correcciones usuario / errores</x:v>
      </x:c>
      <x:c r="J9" s="17" t="str">
        <x:v>Fallback manual</x:v>
      </x:c>
      <x:c r="K9" s="17" t="str">
        <x:v>Controlado</x:v>
      </x:c>
      <x:c r="L9" s="17" t="str">
        <x:v>Medir tasa de corrección.</x:v>
      </x:c>
    </x:row>
    <x:row r="10">
      <x:c r="A10" s="17" t="str">
        <x:v>T-07</x:v>
      </x:c>
      <x:c r="B10" s="17" t="str">
        <x:v>Proveedor IA/Cloud queda indisponible</x:v>
      </x:c>
      <x:c r="C10" s="17" t="str">
        <x:v>Operación</x:v>
      </x:c>
      <x:c r="D10" s="17" t="str">
        <x:v>A</x:v>
      </x:c>
      <x:c r="E10" s="17" t="str">
        <x:v>Media</x:v>
      </x:c>
      <x:c r="F10" s="17" t="str">
        <x:v>Mayor</x:v>
      </x:c>
      <x:c r="G10" s="17" t="str">
        <x:v>Alto</x:v>
      </x:c>
      <x:c r="H10" s="17" t="str">
        <x:v>Fallback manual; arquitectura desacoplada parcial</x:v>
      </x:c>
      <x:c r="I10" s="17" t="str">
        <x:v>Health/error HTTP</x:v>
      </x:c>
      <x:c r="J10" s="17" t="str">
        <x:v>Continuar POS sin IA / contingencia</x:v>
      </x:c>
      <x:c r="K10" s="17" t="str">
        <x:v>Controlado</x:v>
      </x:c>
      <x:c r="L10" s="17" t="str">
        <x:v>Checklist de demo y health.</x:v>
      </x:c>
    </x:row>
    <x:row r="11">
      <x:c r="A11" s="17" t="str">
        <x:v>T-08</x:v>
      </x:c>
      <x:c r="B11" s="17" t="str">
        <x:v>Datos no pueden restaurarse tras incidente</x:v>
      </x:c>
      <x:c r="C11" s="17" t="str">
        <x:v>BD</x:v>
      </x:c>
      <x:c r="D11" s="17" t="str">
        <x:v>A/I</x:v>
      </x:c>
      <x:c r="E11" s="17" t="str">
        <x:v>Media</x:v>
      </x:c>
      <x:c r="F11" s="17" t="str">
        <x:v>Crítico</x:v>
      </x:c>
      <x:c r="G11" s="17" t="str">
        <x:v>Alto</x:v>
      </x:c>
      <x:c r="H11" s="17" t="str">
        <x:v>Backup del proveedor / estrategia por completar</x:v>
      </x:c>
      <x:c r="I11" s="17" t="str">
        <x:v>Prueba restore pendiente</x:v>
      </x:c>
      <x:c r="J11" s="17" t="str">
        <x:v>Restaurar snapshot</x:v>
      </x:c>
      <x:c r="K11" s="17" t="str">
        <x:v>Pendiente</x:v>
      </x:c>
      <x:c r="L11" s="17" t="str">
        <x:v>Ejecutar prueba antes de datos reales.</x:v>
      </x:c>
    </x:row>
    <x:row r="12">
      <x:c r="A12" s="17" t="str">
        <x:v>T-09</x:v>
      </x:c>
      <x:c r="B12" s="17" t="str">
        <x:v>Dependencia npm vulnerable entra a producción</x:v>
      </x:c>
      <x:c r="C12" s="17" t="str">
        <x:v>Código/deps</x:v>
      </x:c>
      <x:c r="D12" s="17" t="str">
        <x:v>C/I/A</x:v>
      </x:c>
      <x:c r="E12" s="17" t="str">
        <x:v>Media</x:v>
      </x:c>
      <x:c r="F12" s="17" t="str">
        <x:v>Alta</x:v>
      </x:c>
      <x:c r="G12" s="17" t="str">
        <x:v>Alto</x:v>
      </x:c>
      <x:c r="H12" s="17" t="str">
        <x:v>npm ci / lockfile</x:v>
      </x:c>
      <x:c r="I12" s="17" t="str">
        <x:v>CI actual no incluye SCA dedicado</x:v>
      </x:c>
      <x:c r="J12" s="17" t="str">
        <x:v>Actualizar/mitigar paquete</x:v>
      </x:c>
      <x:c r="K12" s="17" t="str">
        <x:v>Parcial</x:v>
      </x:c>
      <x:c r="L12" s="17" t="str">
        <x:v>Agregar SCA.</x:v>
      </x:c>
    </x:row>
    <x:row r="13">
      <x:c r="A13" s="17" t="str">
        <x:v>T-10</x:v>
      </x:c>
      <x:c r="B13" s="17" t="str">
        <x:v>XSS/entrada maliciosa llega a interfaz</x:v>
      </x:c>
      <x:c r="C13" s="17" t="str">
        <x:v>Web</x:v>
      </x:c>
      <x:c r="D13" s="17" t="str">
        <x:v>C/I</x:v>
      </x:c>
      <x:c r="E13" s="17" t="str">
        <x:v>Baja/Media</x:v>
      </x:c>
      <x:c r="F13" s="17" t="str">
        <x:v>Alta</x:v>
      </x:c>
      <x:c r="G13" s="17" t="str">
        <x:v>Medio/Alto</x:v>
      </x:c>
      <x:c r="H13" s="17" t="str">
        <x:v>React escaping, Helmet, validaciones de API</x:v>
      </x:c>
      <x:c r="I13" s="17" t="str">
        <x:v>Pruebas de seguridad web por formalizar</x:v>
      </x:c>
      <x:c r="J13" s="17" t="str">
        <x:v>Corregir sanitización/componente</x:v>
      </x:c>
      <x:c r="K13" s="17" t="str">
        <x:v>Parcial</x:v>
      </x:c>
      <x:c r="L13" s="17" t="str">
        <x:v>Casos OWASP específicos.</x:v>
      </x:c>
    </x:row>
    <x:row r="14">
      <x:c r="A14" s="17" t="str">
        <x:v>T-11</x:v>
      </x:c>
      <x:c r="B14" s="17" t="str">
        <x:v>CORS/origen no autorizado llama API</x:v>
      </x:c>
      <x:c r="C14" s="17" t="str">
        <x:v>API</x:v>
      </x:c>
      <x:c r="D14" s="17" t="str">
        <x:v>C/I</x:v>
      </x:c>
      <x:c r="E14" s="17" t="str">
        <x:v>Baja</x:v>
      </x:c>
      <x:c r="F14" s="17" t="str">
        <x:v>Alta</x:v>
      </x:c>
      <x:c r="G14" s="17" t="str">
        <x:v>Medio</x:v>
      </x:c>
      <x:c r="H14" s="17" t="str">
        <x:v>Allowlist producción</x:v>
      </x:c>
      <x:c r="I14" s="17" t="str">
        <x:v>Logs</x:v>
      </x:c>
      <x:c r="J14" s="17" t="str">
        <x:v>Bloqueo/ajuste config</x:v>
      </x:c>
      <x:c r="K14" s="17" t="str">
        <x:v>Implementado</x:v>
      </x:c>
      <x:c r="L14" s="17" t="str">
        <x:v>Verificar en despliegue.</x:v>
      </x:c>
    </x:row>
    <x:row r="15">
      <x:c r="A15" s="17" t="str">
        <x:v>T-12</x:v>
      </x:c>
      <x:c r="B15" s="17" t="str">
        <x:v>Abuso recuperación enumera cuentas</x:v>
      </x:c>
      <x:c r="C15" s="17" t="str">
        <x:v>Cuenta</x:v>
      </x:c>
      <x:c r="D15" s="17" t="str">
        <x:v>C</x:v>
      </x:c>
      <x:c r="E15" s="17" t="str">
        <x:v>Baja</x:v>
      </x:c>
      <x:c r="F15" s="17" t="str">
        <x:v>Moderado</x:v>
      </x:c>
      <x:c r="G15" s="17" t="str">
        <x:v>Medio</x:v>
      </x:c>
      <x:c r="H15" s="17" t="str">
        <x:v>Respuesta genérica + rate limit</x:v>
      </x:c>
      <x:c r="I15" s="17" t="str">
        <x:v>Logs / volumen</x:v>
      </x:c>
      <x:c r="J15" s="17" t="str">
        <x:v>Bloqueo y revisión</x:v>
      </x:c>
      <x:c r="K15" s="17" t="str">
        <x:v>Implementado</x:v>
      </x:c>
      <x:c r="L15" s="17" t="str">
        <x:v>Prueba automatizada.</x:v>
      </x:c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50" hidden="0" customWidth="1"/>
    <x:col min="4" max="4" width="20" hidden="0" customWidth="1"/>
    <x:col min="5" max="5" width="46" hidden="0" customWidth="1"/>
    <x:col min="6" max="6" width="44" hidden="0" customWidth="1"/>
    <x:col min="7" max="7" width="22" hidden="0" customWidth="1"/>
    <x:col min="8" max="8" width="36" hidden="0" customWidth="1"/>
  </x:cols>
  <x:sheetData>
    <x:row r="1" ht="28" customHeight="1">
      <x:c r="A1" s="4" t="str">
        <x:v>MAPEO DEFENSIVO A CATEGORÍAS OWASP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Categoría</x:v>
      </x:c>
      <x:c r="B3" s="11" t="str">
        <x:v>Riesgo Localito</x:v>
      </x:c>
      <x:c r="C3" s="11" t="str">
        <x:v>Control/evidencia actual</x:v>
      </x:c>
      <x:c r="D3" s="11" t="str">
        <x:v>Estado</x:v>
      </x:c>
      <x:c r="E3" s="11" t="str">
        <x:v>Brecha</x:v>
      </x:c>
      <x:c r="F3" s="11" t="str">
        <x:v>Prueba recomendada</x:v>
      </x:c>
      <x:c r="G3" s="11" t="str">
        <x:v>Backlog</x:v>
      </x:c>
      <x:c r="H3" s="11" t="str">
        <x:v>Nota</x:v>
      </x:c>
    </x:row>
    <x:row r="4">
      <x:c r="A4" s="17" t="str">
        <x:v>Control de acceso roto</x:v>
      </x:c>
      <x:c r="B4" s="17" t="str">
        <x:v>Roles o tenant mal aplicados</x:v>
      </x:c>
      <x:c r="C4" s="17" t="str">
        <x:v>requireRoles; tenantId sesión; RLS; revoke Data API</x:v>
      </x:c>
      <x:c r="D4" s="17" t="str">
        <x:v>Parcial/alto valor</x:v>
      </x:c>
      <x:c r="E4" s="17" t="str">
        <x:v>Validar PostgreSQL y rutas nuevas</x:v>
      </x:c>
      <x:c r="F4" s="17" t="str">
        <x:v>Pruebas cruzadas por tenant/rol</x:v>
      </x:c>
      <x:c r="G4" s="17" t="str">
        <x:v>SEC-005/006/007</x:v>
      </x:c>
      <x:c r="H4" s="17" t="str">
        <x:v>Mayor prioridad.</x:v>
      </x:c>
    </x:row>
    <x:row r="5">
      <x:c r="A5" s="17" t="str">
        <x:v>Fallos criptográficos</x:v>
      </x:c>
      <x:c r="B5" s="17" t="str">
        <x:v>Clave/token/secreto mal protegido</x:v>
      </x:c>
      <x:c r="C5" s="17" t="str">
        <x:v>scrypt+salt; token hash; HMAC</x:v>
      </x:c>
      <x:c r="D5" s="17" t="str">
        <x:v>Parcial</x:v>
      </x:c>
      <x:c r="E5" s="17" t="str">
        <x:v>Secreto de sesión debe ser obligatorio en producción</x:v>
      </x:c>
      <x:c r="F5" s="17" t="str">
        <x:v>Revisión config y rotación</x:v>
      </x:c>
      <x:c r="G5" s="17" t="str">
        <x:v>SEC-001/003/004/013</x:v>
      </x:c>
      <x:c r="H5" s="17" t="str">
        <x:v>No se almacena contraseña en claro.</x:v>
      </x:c>
    </x:row>
    <x:row r="6">
      <x:c r="A6" s="17" t="str">
        <x:v>Inyección</x:v>
      </x:c>
      <x:c r="B6" s="17" t="str">
        <x:v>Datos no validados llegan a SQL/comandos</x:v>
      </x:c>
      <x:c r="C6" s="17" t="str">
        <x:v>Repositorio parametrizado por revisar + validaciones de dominio</x:v>
      </x:c>
      <x:c r="D6" s="17" t="str">
        <x:v>Parcial</x:v>
      </x:c>
      <x:c r="E6" s="17" t="str">
        <x:v>No existe informe SAST/DAST formal</x:v>
      </x:c>
      <x:c r="F6" s="17" t="str">
        <x:v>Casos de inputs maliciosos + SAST</x:v>
      </x:c>
      <x:c r="G6" s="17" t="str">
        <x:v>SEC-011/014</x:v>
      </x:c>
      <x:c r="H6" s="17" t="str">
        <x:v>No afirmar ausencia total.</x:v>
      </x:c>
    </x:row>
    <x:row r="7">
      <x:c r="A7" s="17" t="str">
        <x:v>Diseño inseguro</x:v>
      </x:c>
      <x:c r="B7" s="17" t="str">
        <x:v>Flujo permite bypass de reglas</x:v>
      </x:c>
      <x:c r="C7" s="17" t="str">
        <x:v>Human-in-the-loop; entitlements; alcance definido</x:v>
      </x:c>
      <x:c r="D7" s="17" t="str">
        <x:v>Parcial</x:v>
      </x:c>
      <x:c r="E7" s="17" t="str">
        <x:v>Threat modeling formal aún no estaba consolidado</x:v>
      </x:c>
      <x:c r="F7" s="17" t="str">
        <x:v>Revisión por flujo crítico</x:v>
      </x:c>
      <x:c r="G7" s="17" t="str">
        <x:v>Seguridad backlog</x:v>
      </x:c>
      <x:c r="H7" s="17" t="str">
        <x:v>Este paquete cubre el diseño.</x:v>
      </x:c>
    </x:row>
    <x:row r="8">
      <x:c r="A8" s="17" t="str">
        <x:v>Configuración insegura</x:v>
      </x:c>
      <x:c r="B8" s="17" t="str">
        <x:v>CORS, headers, secretos, entornos</x:v>
      </x:c>
      <x:c r="C8" s="17" t="str">
        <x:v>Helmet; CORS; RLS; revoke roles</x:v>
      </x:c>
      <x:c r="D8" s="17" t="str">
        <x:v>Parcial</x:v>
      </x:c>
      <x:c r="E8" s="17" t="str">
        <x:v>Fail-fast secretos y revisión despliegue</x:v>
      </x:c>
      <x:c r="F8" s="17" t="str">
        <x:v>Checklist configuración</x:v>
      </x:c>
      <x:c r="G8" s="17" t="str">
        <x:v>SEC-004/008/013</x:v>
      </x:c>
      <x:c r="H8" s="17" t="str">
        <x:v>Config de producción manda.</x:v>
      </x:c>
    </x:row>
    <x:row r="9">
      <x:c r="A9" s="17" t="str">
        <x:v>Componentes vulnerables</x:v>
      </x:c>
      <x:c r="B9" s="17" t="str">
        <x:v>Dependencias npm con CVEs</x:v>
      </x:c>
      <x:c r="C9" s="17" t="str">
        <x:v>npm ci + lockfile</x:v>
      </x:c>
      <x:c r="D9" s="17" t="str">
        <x:v>Pendiente parcial</x:v>
      </x:c>
      <x:c r="E9" s="17" t="str">
        <x:v>Sin SCA dedicado documentado</x:v>
      </x:c>
      <x:c r="F9" s="17" t="str">
        <x:v>SCA/dependency scan</x:v>
      </x:c>
      <x:c r="G9" s="17" t="str">
        <x:v>SEC-014</x:v>
      </x:c>
      <x:c r="H9" s="17" t="str">
        <x:v>No inventar vulnerabilidades actuales.</x:v>
      </x:c>
    </x:row>
    <x:row r="10">
      <x:c r="A10" s="17" t="str">
        <x:v>Fallas de identificación/autenticación</x:v>
      </x:c>
      <x:c r="B10" s="17" t="str">
        <x:v>Fuerza bruta, sesión, reset</x:v>
      </x:c>
      <x:c r="C10" s="17" t="str">
        <x:v>rate limits; scrypt; reset genérico</x:v>
      </x:c>
      <x:c r="D10" s="17" t="str">
        <x:v>Parcial</x:v>
      </x:c>
      <x:c r="E10" s="17" t="str">
        <x:v>MFA no implementado; limit distribuido pendiente</x:v>
      </x:c>
      <x:c r="F10" s="17" t="str">
        <x:v>Pruebas login/reset/sesiones</x:v>
      </x:c>
      <x:c r="G10" s="17" t="str">
        <x:v>SEC-002/009/010</x:v>
      </x:c>
      <x:c r="H10" s="17" t="str">
        <x:v>MFA roadmap.</x:v>
      </x:c>
    </x:row>
    <x:row r="11">
      <x:c r="A11" s="17" t="str">
        <x:v>Integridad de software/datos</x:v>
      </x:c>
      <x:c r="B11" s="17" t="str">
        <x:v>CI/deps/build alterados</x:v>
      </x:c>
      <x:c r="C11" s="17" t="str">
        <x:v>CI read-only checkout + npm ci + checks</x:v>
      </x:c>
      <x:c r="D11" s="17" t="str">
        <x:v>Parcial</x:v>
      </x:c>
      <x:c r="E11" s="17" t="str">
        <x:v>Sin firmas/SBOM/secret scan documentado</x:v>
      </x:c>
      <x:c r="F11" s="17" t="str">
        <x:v>SCA + lockfile review</x:v>
      </x:c>
      <x:c r="G11" s="17" t="str">
        <x:v>SEC-014</x:v>
      </x:c>
      <x:c r="H11" s="17" t="str">
        <x:v>Alcance académico.</x:v>
      </x:c>
    </x:row>
    <x:row r="12">
      <x:c r="A12" s="17" t="str">
        <x:v>Logging/monitoring insuficiente</x:v>
      </x:c>
      <x:c r="B12" s="17" t="str">
        <x:v>Incidente no detectable</x:v>
      </x:c>
      <x:c r="C12" s="17" t="str">
        <x:v>auditoria + morgan</x:v>
      </x:c>
      <x:c r="D12" s="17" t="str">
        <x:v>Parcial</x:v>
      </x:c>
      <x:c r="E12" s="17" t="str">
        <x:v>No hay SIEM/alertas operativas formalizadas</x:v>
      </x:c>
      <x:c r="F12" s="17" t="str">
        <x:v>Casos auditables y retención</x:v>
      </x:c>
      <x:c r="G12" s="17" t="str">
        <x:v>SEC-012</x:v>
      </x:c>
      <x:c r="H12" s="17" t="str">
        <x:v>Adecuado para tesis; no SOC.</x:v>
      </x:c>
    </x:row>
    <x:row r="13">
      <x:c r="A13" s="17" t="str">
        <x:v>SSRF</x:v>
      </x:c>
      <x:c r="B13" s="17" t="str">
        <x:v>Backend consume URLs externas manipulables</x:v>
      </x:c>
      <x:c r="C13" s="17" t="str">
        <x:v>Flujos de IA/correo definidos; no se identificó funcionalidad genérica de fetch de URL</x:v>
      </x:c>
      <x:c r="D13" s="17" t="str">
        <x:v>Revisar</x:v>
      </x:c>
      <x:c r="E13" s="17" t="str">
        <x:v>Necesita confirmar rutas futuras</x:v>
      </x:c>
      <x:c r="F13" s="17" t="str">
        <x:v>Prueba si se agregan URLs remotas</x:v>
      </x:c>
      <x:c r="G13" s="17" t="str">
        <x:v>Roadmap</x:v>
      </x:c>
      <x:c r="H13" s="17" t="str">
        <x:v>No afirmar que es imposible.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8" hidden="0" customWidth="1"/>
    <x:col min="4" max="4" width="34" hidden="0" customWidth="1"/>
    <x:col min="5" max="5" width="48" hidden="0" customWidth="1"/>
    <x:col min="6" max="6" width="48" hidden="0" customWidth="1"/>
    <x:col min="7" max="7" width="20" hidden="0" customWidth="1"/>
    <x:col min="8" max="8" width="12" hidden="0" customWidth="1"/>
    <x:col min="9" max="9" width="22" hidden="0" customWidth="1"/>
    <x:col min="10" max="10" width="30" hidden="0" customWidth="1"/>
    <x:col min="11" max="11" width="20" hidden="0" customWidth="1"/>
  </x:cols>
  <x:sheetData>
    <x:row r="1" ht="28" customHeight="1">
      <x:c r="A1" s="4" t="str">
        <x:v>PLAN DE PRUEBAS DE SEGURIDAD - DEFENSIVO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1" t="str">
        <x:v>ID</x:v>
      </x:c>
      <x:c r="B3" s="11" t="str">
        <x:v>Área</x:v>
      </x:c>
      <x:c r="C3" s="11" t="str">
        <x:v>Objetivo</x:v>
      </x:c>
      <x:c r="D3" s="11" t="str">
        <x:v>Precondición</x:v>
      </x:c>
      <x:c r="E3" s="11" t="str">
        <x:v>Procedimiento resumido</x:v>
      </x:c>
      <x:c r="F3" s="11" t="str">
        <x:v>Resultado esperado</x:v>
      </x:c>
      <x:c r="G3" s="11" t="str">
        <x:v>Tipo</x:v>
      </x:c>
      <x:c r="H3" s="11" t="str">
        <x:v>Prioridad</x:v>
      </x:c>
      <x:c r="I3" s="11" t="str">
        <x:v>Estado</x:v>
      </x:c>
      <x:c r="J3" s="11" t="str">
        <x:v>Evidencia requerida</x:v>
      </x:c>
      <x:c r="K3" s="11" t="str">
        <x:v>Relaciona</x:v>
      </x:c>
    </x:row>
    <x:row r="4">
      <x:c r="A4" s="17" t="str">
        <x:v>ST-001</x:v>
      </x:c>
      <x:c r="B4" s="17" t="str">
        <x:v>Auth</x:v>
      </x:c>
      <x:c r="C4" s="17" t="str">
        <x:v>Clave correcta/incorrecta no rompe sesión</x:v>
      </x:c>
      <x:c r="D4" s="17" t="str">
        <x:v>Usuario de prueba</x:v>
      </x:c>
      <x:c r="E4" s="17" t="str">
        <x:v>Login válido e inválido repetido</x:v>
      </x:c>
      <x:c r="F4" s="17" t="str">
        <x:v>Válido autentica; inválido usa mensaje genérico; rate limit tras umbral</x:v>
      </x:c>
      <x:c r="G4" s="17" t="str">
        <x:v>Funcional/seguridad</x:v>
      </x:c>
      <x:c r="H4" s="17" t="str">
        <x:v>Crítica</x:v>
      </x:c>
      <x:c r="I4" s="17" t="str">
        <x:v>Diseñado</x:v>
      </x:c>
      <x:c r="J4" s="17" t="str">
        <x:v>Respuesta HTTP + test</x:v>
      </x:c>
      <x:c r="K4" s="17" t="str">
        <x:v>SEC-001/002/009</x:v>
      </x:c>
    </x:row>
    <x:row r="5">
      <x:c r="A5" s="17" t="str">
        <x:v>ST-002</x:v>
      </x:c>
      <x:c r="B5" s="17" t="str">
        <x:v>Roles</x:v>
      </x:c>
      <x:c r="C5" s="17" t="str">
        <x:v>Seller no accede funciones de owner/admin</x:v>
      </x:c>
      <x:c r="D5" s="17" t="str">
        <x:v>Usuarios por rol</x:v>
      </x:c>
      <x:c r="E5" s="17" t="str">
        <x:v>Llamar rutas protegidas con cada rol</x:v>
      </x:c>
      <x:c r="F5" s="17" t="str">
        <x:v>403 cuando rol no corresponde</x:v>
      </x:c>
      <x:c r="G5" s="17" t="str">
        <x:v>Autorización</x:v>
      </x:c>
      <x:c r="H5" s="17" t="str">
        <x:v>Crítica</x:v>
      </x:c>
      <x:c r="I5" s="17" t="str">
        <x:v>Diseñado</x:v>
      </x:c>
      <x:c r="J5" s="17" t="str">
        <x:v>Tests negativos</x:v>
      </x:c>
      <x:c r="K5" s="17" t="str">
        <x:v>SEC-005</x:v>
      </x:c>
    </x:row>
    <x:row r="6">
      <x:c r="A6" s="17" t="str">
        <x:v>ST-003</x:v>
      </x:c>
      <x:c r="B6" s="17" t="str">
        <x:v>Tenant</x:v>
      </x:c>
      <x:c r="C6" s="17" t="str">
        <x:v>Negocio A no lee/modifica recursos B</x:v>
      </x:c>
      <x:c r="D6" s="17" t="str">
        <x:v>Dos tenants sintéticos</x:v>
      </x:c>
      <x:c r="E6" s="17" t="str">
        <x:v>Usar IDs cruzados en rutas</x:v>
      </x:c>
      <x:c r="F6" s="17" t="str">
        <x:v>404/403/sin datos cruzados</x:v>
      </x:c>
      <x:c r="G6" s="17" t="str">
        <x:v>Autorización</x:v>
      </x:c>
      <x:c r="H6" s="17" t="str">
        <x:v>Crítica</x:v>
      </x:c>
      <x:c r="I6" s="17" t="str">
        <x:v>Pendiente PostgreSQL</x:v>
      </x:c>
      <x:c r="J6" s="17" t="str">
        <x:v>Evidencia automatizada</x:v>
      </x:c>
      <x:c r="K6" s="17" t="str">
        <x:v>SEC-006/007</x:v>
      </x:c>
    </x:row>
    <x:row r="7">
      <x:c r="A7" s="17" t="str">
        <x:v>ST-004</x:v>
      </x:c>
      <x:c r="B7" s="17" t="str">
        <x:v>Sesión</x:v>
      </x:c>
      <x:c r="C7" s="17" t="str">
        <x:v>Token revocado deja de funcionar</x:v>
      </x:c>
      <x:c r="D7" s="17" t="str">
        <x:v>Sesión persistente</x:v>
      </x:c>
      <x:c r="E7" s="17" t="str">
        <x:v>Logout y reutilizar token</x:v>
      </x:c>
      <x:c r="F7" s="17" t="str">
        <x:v>401</x:v>
      </x:c>
      <x:c r="G7" s="17" t="str">
        <x:v>Sesión</x:v>
      </x:c>
      <x:c r="H7" s="17" t="str">
        <x:v>Alta</x:v>
      </x:c>
      <x:c r="I7" s="17" t="str">
        <x:v>Diseñado</x:v>
      </x:c>
      <x:c r="J7" s="17" t="str">
        <x:v>Test API</x:v>
      </x:c>
      <x:c r="K7" s="17" t="str">
        <x:v>SEC-003</x:v>
      </x:c>
    </x:row>
    <x:row r="8">
      <x:c r="A8" s="17" t="str">
        <x:v>ST-005</x:v>
      </x:c>
      <x:c r="B8" s="17" t="str">
        <x:v>Reset</x:v>
      </x:c>
      <x:c r="C8" s="17" t="str">
        <x:v>Correo inexistente no se distingue</x:v>
      </x:c>
      <x:c r="D8" s="17" t="str">
        <x:v>Dos correos</x:v>
      </x:c>
      <x:c r="E8" s="17" t="str">
        <x:v>Solicitar reset</x:v>
      </x:c>
      <x:c r="F8" s="17" t="str">
        <x:v>Mismo patrón de respuesta 202</x:v>
      </x:c>
      <x:c r="G8" s="17" t="str">
        <x:v>Privacidad</x:v>
      </x:c>
      <x:c r="H8" s="17" t="str">
        <x:v>Alta</x:v>
      </x:c>
      <x:c r="I8" s="17" t="str">
        <x:v>Diseñado</x:v>
      </x:c>
      <x:c r="J8" s="17" t="str">
        <x:v>Test API</x:v>
      </x:c>
      <x:c r="K8" s="17" t="str">
        <x:v>SEC-010</x:v>
      </x:c>
    </x:row>
    <x:row r="9">
      <x:c r="A9" s="17" t="str">
        <x:v>ST-006</x:v>
      </x:c>
      <x:c r="B9" s="17" t="str">
        <x:v>Reset</x:v>
      </x:c>
      <x:c r="C9" s="17" t="str">
        <x:v>Token usado/vencido se rechaza</x:v>
      </x:c>
      <x:c r="D9" s="17" t="str">
        <x:v>Token de prueba</x:v>
      </x:c>
      <x:c r="E9" s="17" t="str">
        <x:v>Confirmar dos veces / después de expirar</x:v>
      </x:c>
      <x:c r="F9" s="17" t="str">
        <x:v>Segundo uso o expirado rechazado</x:v>
      </x:c>
      <x:c r="G9" s="17" t="str">
        <x:v>Identidad</x:v>
      </x:c>
      <x:c r="H9" s="17" t="str">
        <x:v>Alta</x:v>
      </x:c>
      <x:c r="I9" s="17" t="str">
        <x:v>Diseñado</x:v>
      </x:c>
      <x:c r="J9" s="17" t="str">
        <x:v>Test API/BD</x:v>
      </x:c>
      <x:c r="K9" s="17" t="str">
        <x:v>SEC-010</x:v>
      </x:c>
    </x:row>
    <x:row r="10">
      <x:c r="A10" s="17" t="str">
        <x:v>ST-007</x:v>
      </x:c>
      <x:c r="B10" s="17" t="str">
        <x:v>CORS</x:v>
      </x:c>
      <x:c r="C10" s="17" t="str">
        <x:v>Origen no autorizado bloqueado en producción</x:v>
      </x:c>
      <x:c r="D10" s="17" t="str">
        <x:v>Config producción de test</x:v>
      </x:c>
      <x:c r="E10" s="17" t="str">
        <x:v>Enviar Origin no permitido</x:v>
      </x:c>
      <x:c r="F10" s="17" t="str">
        <x:v>No se concede CORS</x:v>
      </x:c>
      <x:c r="G10" s="17" t="str">
        <x:v>Configuración</x:v>
      </x:c>
      <x:c r="H10" s="17" t="str">
        <x:v>Alta</x:v>
      </x:c>
      <x:c r="I10" s="17" t="str">
        <x:v>Pendiente despliegue</x:v>
      </x:c>
      <x:c r="J10" s="17" t="str">
        <x:v>Headers de respuesta</x:v>
      </x:c>
      <x:c r="K10" s="17" t="str">
        <x:v>SEC-008</x:v>
      </x:c>
    </x:row>
    <x:row r="11">
      <x:c r="A11" s="17" t="str">
        <x:v>ST-008</x:v>
      </x:c>
      <x:c r="B11" s="17" t="str">
        <x:v>Headers</x:v>
      </x:c>
      <x:c r="C11" s="17" t="str">
        <x:v>Headers defensivos presentes</x:v>
      </x:c>
      <x:c r="D11" s="17" t="str">
        <x:v>API desplegada</x:v>
      </x:c>
      <x:c r="E11" s="17" t="str">
        <x:v>Consultar endpoint</x:v>
      </x:c>
      <x:c r="F11" s="17" t="str">
        <x:v>Headers Helmet esperados</x:v>
      </x:c>
      <x:c r="G11" s="17" t="str">
        <x:v>Configuración</x:v>
      </x:c>
      <x:c r="H11" s="17" t="str">
        <x:v>Media</x:v>
      </x:c>
      <x:c r="I11" s="17" t="str">
        <x:v>Diseñado</x:v>
      </x:c>
      <x:c r="J11" s="17" t="str">
        <x:v>Captura headers</x:v>
      </x:c>
      <x:c r="K11" s="17" t="str">
        <x:v>SEC-008</x:v>
      </x:c>
    </x:row>
    <x:row r="12">
      <x:c r="A12" s="17" t="str">
        <x:v>ST-009</x:v>
      </x:c>
      <x:c r="B12" s="17" t="str">
        <x:v>Ventas</x:v>
      </x:c>
      <x:c r="C12" s="17" t="str">
        <x:v>Payload inválido no muta stock/caja</x:v>
      </x:c>
      <x:c r="D12" s="17" t="str">
        <x:v>Dataset sintético</x:v>
      </x:c>
      <x:c r="E12" s="17" t="str">
        <x:v>Cantidades negativas, duplicadas, pagos inconsistentes</x:v>
      </x:c>
      <x:c r="F12" s="17" t="str">
        <x:v>4xx y sin mutación</x:v>
      </x:c>
      <x:c r="G12" s="17" t="str">
        <x:v>Integridad</x:v>
      </x:c>
      <x:c r="H12" s="17" t="str">
        <x:v>Crítica</x:v>
      </x:c>
      <x:c r="I12" s="17" t="str">
        <x:v>Evidencia parcial</x:v>
      </x:c>
      <x:c r="J12" s="17" t="str">
        <x:v>Tests negativos</x:v>
      </x:c>
      <x:c r="K12" s="17" t="str">
        <x:v>SEC-011</x:v>
      </x:c>
    </x:row>
    <x:row r="13">
      <x:c r="A13" s="17" t="str">
        <x:v>ST-010</x:v>
      </x:c>
      <x:c r="B13" s="17" t="str">
        <x:v>Idempotencia</x:v>
      </x:c>
      <x:c r="C13" s="17" t="str">
        <x:v>Reintento no duplica venta</x:v>
      </x:c>
      <x:c r="D13" s="17" t="str">
        <x:v>PostgreSQL test</x:v>
      </x:c>
      <x:c r="E13" s="17" t="str">
        <x:v>Enviar misma idempotency key concurrentemente</x:v>
      </x:c>
      <x:c r="F13" s="17" t="str">
        <x:v>Una sola venta/efecto</x:v>
      </x:c>
      <x:c r="G13" s="17" t="str">
        <x:v>Integridad</x:v>
      </x:c>
      <x:c r="H13" s="17" t="str">
        <x:v>Crítica</x:v>
      </x:c>
      <x:c r="I13" s="17" t="str">
        <x:v>Pendiente</x:v>
      </x:c>
      <x:c r="J13" s="17" t="str">
        <x:v>DB + API</x:v>
      </x:c>
      <x:c r="K13" s="17" t="str">
        <x:v>SEC-011</x:v>
      </x:c>
    </x:row>
    <x:row r="14">
      <x:c r="A14" s="17" t="str">
        <x:v>ST-011</x:v>
      </x:c>
      <x:c r="B14" s="17" t="str">
        <x:v>Secretos</x:v>
      </x:c>
      <x:c r="C14" s="17" t="str">
        <x:v>Build/client no expone secretos server-side</x:v>
      </x:c>
      <x:c r="D14" s="17" t="str">
        <x:v>Build producción</x:v>
      </x:c>
      <x:c r="E14" s="17" t="str">
        <x:v>Revisar bundles/config pública</x:v>
      </x:c>
      <x:c r="F14" s="17" t="str">
        <x:v>No aparecen claves privadas</x:v>
      </x:c>
      <x:c r="G14" s="17" t="str">
        <x:v>Secretos</x:v>
      </x:c>
      <x:c r="H14" s="17" t="str">
        <x:v>Crítica</x:v>
      </x:c>
      <x:c r="I14" s="17" t="str">
        <x:v>Pendiente formal</x:v>
      </x:c>
      <x:c r="J14" s="17" t="str">
        <x:v>Scan de artefacto</x:v>
      </x:c>
      <x:c r="K14" s="17" t="str">
        <x:v>SEC-013</x:v>
      </x:c>
    </x:row>
    <x:row r="15">
      <x:c r="A15" s="17" t="str">
        <x:v>ST-012</x:v>
      </x:c>
      <x:c r="B15" s="17" t="str">
        <x:v>SCA</x:v>
      </x:c>
      <x:c r="C15" s="17" t="str">
        <x:v>Dependencias críticas conocidas identificadas</x:v>
      </x:c>
      <x:c r="D15" s="17" t="str">
        <x:v>Lockfile actual</x:v>
      </x:c>
      <x:c r="E15" s="17" t="str">
        <x:v>Ejecutar herramienta SCA aprobada</x:v>
      </x:c>
      <x:c r="F15" s="17" t="str">
        <x:v>Hallazgos clasificados y accionados</x:v>
      </x:c>
      <x:c r="G15" s="17" t="str">
        <x:v>Vulnerabilidades</x:v>
      </x:c>
      <x:c r="H15" s="17" t="str">
        <x:v>Alta</x:v>
      </x:c>
      <x:c r="I15" s="17" t="str">
        <x:v>Pendiente</x:v>
      </x:c>
      <x:c r="J15" s="17" t="str">
        <x:v>Reporte herramienta</x:v>
      </x:c>
      <x:c r="K15" s="17" t="str">
        <x:v>SEC-014</x:v>
      </x:c>
    </x:row>
    <x:row r="16">
      <x:c r="A16" s="17" t="str">
        <x:v>ST-013</x:v>
      </x:c>
      <x:c r="B16" s="17" t="str">
        <x:v>Backup</x:v>
      </x:c>
      <x:c r="C16" s="17" t="str">
        <x:v>Restauración íntegra</x:v>
      </x:c>
      <x:c r="D16" s="17" t="str">
        <x:v>Snapshot de prueba</x:v>
      </x:c>
      <x:c r="E16" s="17" t="str">
        <x:v>Restaurar en ambiente aislado y comparar datos</x:v>
      </x:c>
      <x:c r="F16" s="17" t="str">
        <x:v>Datos y relaciones consistentes</x:v>
      </x:c>
      <x:c r="G16" s="17" t="str">
        <x:v>Continuidad</x:v>
      </x:c>
      <x:c r="H16" s="17" t="str">
        <x:v>Crítica</x:v>
      </x:c>
      <x:c r="I16" s="17" t="str">
        <x:v>Pendiente</x:v>
      </x:c>
      <x:c r="J16" s="17" t="str">
        <x:v>Checklist + evidencia</x:v>
      </x:c>
      <x:c r="K16" s="17" t="str">
        <x:v>SEC-015</x:v>
      </x:c>
    </x:row>
    <x:row r="17">
      <x:c r="A17" s="17" t="str">
        <x:v>ST-014</x:v>
      </x:c>
      <x:c r="B17" s="17" t="str">
        <x:v>IA</x:v>
      </x:c>
      <x:c r="C17" s="17" t="str">
        <x:v>Respuesta IA no puede introducir ID ajeno/inválido</x:v>
      </x:c>
      <x:c r="D17" s="17" t="str">
        <x:v>Catálogo controlado</x:v>
      </x:c>
      <x:c r="E17" s="17" t="str">
        <x:v>Forzar propuesta inválida</x:v>
      </x:c>
      <x:c r="F17" s="17" t="str">
        <x:v>API descarta IDs no permitidos; requiere confirmación</x:v>
      </x:c>
      <x:c r="G17" s="17" t="str">
        <x:v>Integridad IA</x:v>
      </x:c>
      <x:c r="H17" s="17" t="str">
        <x:v>Alta</x:v>
      </x:c>
      <x:c r="I17" s="17" t="str">
        <x:v>Diseñado</x:v>
      </x:c>
      <x:c r="J17" s="17" t="str">
        <x:v>Test de validación</x:v>
      </x:c>
      <x:c r="K17" s="17" t="str">
        <x:v>SEC-016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14" hidden="0" customWidth="1"/>
    <x:col min="4" max="4" width="38" hidden="0" customWidth="1"/>
    <x:col min="5" max="5" width="38" hidden="0" customWidth="1"/>
    <x:col min="6" max="6" width="22" hidden="0" customWidth="1"/>
    <x:col min="7" max="7" width="48" hidden="0" customWidth="1"/>
    <x:col min="8" max="8" width="24" hidden="0" customWidth="1"/>
    <x:col min="9" max="9" width="18" hidden="0" customWidth="1"/>
    <x:col min="10" max="10" width="46" hidden="0" customWidth="1"/>
  </x:cols>
  <x:sheetData>
    <x:row r="1" ht="28" customHeight="1">
      <x:c r="A1" s="4" t="str">
        <x:v>HALLAZGOS Y BRECHAS DE SEGURIDAD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ID</x:v>
      </x:c>
      <x:c r="B3" s="11" t="str">
        <x:v>Hallazgo</x:v>
      </x:c>
      <x:c r="C3" s="11" t="str">
        <x:v>Severidad</x:v>
      </x:c>
      <x:c r="D3" s="11" t="str">
        <x:v>Evidencia</x:v>
      </x:c>
      <x:c r="E3" s="11" t="str">
        <x:v>Impacto</x:v>
      </x:c>
      <x:c r="F3" s="11" t="str">
        <x:v>Estado</x:v>
      </x:c>
      <x:c r="G3" s="11" t="str">
        <x:v>Acción</x:v>
      </x:c>
      <x:c r="H3" s="11" t="str">
        <x:v>Sprint/roadmap</x:v>
      </x:c>
      <x:c r="I3" s="11" t="str">
        <x:v>Owner</x:v>
      </x:c>
      <x:c r="J3" s="11" t="str">
        <x:v>Criterio de cierre</x:v>
      </x:c>
    </x:row>
    <x:row r="4">
      <x:c r="A4" s="17" t="str">
        <x:v>SF-001</x:v>
      </x:c>
      <x:c r="B4" s="17" t="str">
        <x:v>Credenciales administrativas históricas deben rotarse</x:v>
      </x:c>
      <x:c r="C4" s="17" t="str">
        <x:v>Crítica</x:v>
      </x:c>
      <x:c r="D4" s="17" t="str">
        <x:v>Pendiente explícito en Estado-Actual</x:v>
      </x:c>
      <x:c r="E4" s="17" t="str">
        <x:v>Compromiso de plataforma/proveedores</x:v>
      </x:c>
      <x:c r="F4" s="17" t="str">
        <x:v>Acción requerida</x:v>
      </x:c>
      <x:c r="G4" s="17" t="str">
        <x:v>Rotar secretos y revisar despliegue sin republicar valores</x:v>
      </x:c>
      <x:c r="H4" s="17" t="str">
        <x:v>Sprint 8</x:v>
      </x:c>
      <x:c r="I4" s="17" t="str">
        <x:v>Dev</x:v>
      </x:c>
      <x:c r="J4" s="17" t="str">
        <x:v>Todos los secretos activos son nuevos y privados.</x:v>
      </x:c>
    </x:row>
    <x:row r="5">
      <x:c r="A5" s="17" t="str">
        <x:v>SF-002</x:v>
      </x:c>
      <x:c r="B5" s="17" t="str">
        <x:v>Secreto de sesión firmado no es fail-fast si falta configuración</x:v>
      </x:c>
      <x:c r="C5" s="17" t="str">
        <x:v>Alta</x:v>
      </x:c>
      <x:c r="D5" s="17" t="str">
        <x:v>server.ts usa cadena de fallback</x:v>
      </x:c>
      <x:c r="E5" s="17" t="str">
        <x:v>Sesiones falsificables si se despliega incorrectamente en modo memoria</x:v>
      </x:c>
      <x:c r="F5" s="17" t="str">
        <x:v>Abierto</x:v>
      </x:c>
      <x:c r="G5" s="17" t="str">
        <x:v>Producción debe fallar al iniciar sin SESSION_SECRET fuerte</x:v>
      </x:c>
      <x:c r="H5" s="17" t="str">
        <x:v>Sprint 8</x:v>
      </x:c>
      <x:c r="I5" s="17" t="str">
        <x:v>Dev</x:v>
      </x:c>
      <x:c r="J5" s="17" t="str">
        <x:v>Despliegue de producción no inicia sin secreto.</x:v>
      </x:c>
    </x:row>
    <x:row r="6">
      <x:c r="A6" s="17" t="str">
        <x:v>SF-003</x:v>
      </x:c>
      <x:c r="B6" s="17" t="str">
        <x:v>Rate limiting es local al proceso</x:v>
      </x:c>
      <x:c r="C6" s="17" t="str">
        <x:v>Media/Alta</x:v>
      </x:c>
      <x:c r="D6" s="17" t="str">
        <x:v>Maps en memoria</x:v>
      </x:c>
      <x:c r="E6" s="17" t="str">
        <x:v>Bypass/ineficacia en múltiples instancias o reinicios</x:v>
      </x:c>
      <x:c r="F6" s="17" t="str">
        <x:v>Aceptable tesis / roadmap</x:v>
      </x:c>
      <x:c r="G6" s="17" t="str">
        <x:v>Store distribuido o proveedor edge si escala</x:v>
      </x:c>
      <x:c r="H6" s="17" t="str">
        <x:v>Roadmap</x:v>
      </x:c>
      <x:c r="I6" s="17" t="str">
        <x:v>Dev</x:v>
      </x:c>
      <x:c r="J6" s="17" t="str">
        <x:v>Limit compartido probado.</x:v>
      </x:c>
    </x:row>
    <x:row r="7">
      <x:c r="A7" s="17" t="str">
        <x:v>SF-004</x:v>
      </x:c>
      <x:c r="B7" s="17" t="str">
        <x:v>No hay MFA en alcance actual</x:v>
      </x:c>
      <x:c r="C7" s="17" t="str">
        <x:v>Media/Alta</x:v>
      </x:c>
      <x:c r="D7" s="17" t="str">
        <x:v>No aparece en auth actual</x:v>
      </x:c>
      <x:c r="E7" s="17" t="str">
        <x:v>Mayor riesgo de account takeover</x:v>
      </x:c>
      <x:c r="F7" s="17" t="str">
        <x:v>Aceptado tesis</x:v>
      </x:c>
      <x:c r="G7" s="17" t="str">
        <x:v>Evaluar MFA para owners/admin antes de datos reales/comercialización</x:v>
      </x:c>
      <x:c r="H7" s="17" t="str">
        <x:v>Roadmap</x:v>
      </x:c>
      <x:c r="I7" s="17" t="str">
        <x:v>PO/Dev</x:v>
      </x:c>
      <x:c r="J7" s="17" t="str">
        <x:v>Decisión y diseño documentados.</x:v>
      </x:c>
    </x:row>
    <x:row r="8">
      <x:c r="A8" s="17" t="str">
        <x:v>SF-005</x:v>
      </x:c>
      <x:c r="B8" s="17" t="str">
        <x:v>CI sin SAST/SCA/secret scan dedicado</x:v>
      </x:c>
      <x:c r="C8" s="17" t="str">
        <x:v>Alta</x:v>
      </x:c>
      <x:c r="D8" s="17" t="str">
        <x:v>ci.yml solo npm ci + npm run check</x:v>
      </x:c>
      <x:c r="E8" s="17" t="str">
        <x:v>Dependencias/secretos pueden pasar sin control específico</x:v>
      </x:c>
      <x:c r="F8" s="17" t="str">
        <x:v>Abierto</x:v>
      </x:c>
      <x:c r="G8" s="17" t="str">
        <x:v>Agregar dependency/SAST/secret scanning</x:v>
      </x:c>
      <x:c r="H8" s="17" t="str">
        <x:v>Sprint 8/roadmap</x:v>
      </x:c>
      <x:c r="I8" s="17" t="str">
        <x:v>Dev</x:v>
      </x:c>
      <x:c r="J8" s="17" t="str">
        <x:v>CI genera reporte y bloquea criterio definido.</x:v>
      </x:c>
    </x:row>
    <x:row r="9">
      <x:c r="A9" s="17" t="str">
        <x:v>SF-006</x:v>
      </x:c>
      <x:c r="B9" s="17" t="str">
        <x:v>Backup/restore no validado</x:v>
      </x:c>
      <x:c r="C9" s="17" t="str">
        <x:v>Crítica</x:v>
      </x:c>
      <x:c r="D9" s="17" t="str">
        <x:v>Estado-Actual</x:v>
      </x:c>
      <x:c r="E9" s="17" t="str">
        <x:v>Pérdida prolongada de datos</x:v>
      </x:c>
      <x:c r="F9" s="17" t="str">
        <x:v>Pendiente</x:v>
      </x:c>
      <x:c r="G9" s="17" t="str">
        <x:v>Ejecutar restore de prueba</x:v>
      </x:c>
      <x:c r="H9" s="17" t="str">
        <x:v>Sprint 8</x:v>
      </x:c>
      <x:c r="I9" s="17" t="str">
        <x:v>Dev/QA</x:v>
      </x:c>
      <x:c r="J9" s="17" t="str">
        <x:v>Restore completo documentado.</x:v>
      </x:c>
    </x:row>
    <x:row r="10">
      <x:c r="A10" s="17" t="str">
        <x:v>SF-007</x:v>
      </x:c>
      <x:c r="B10" s="17" t="str">
        <x:v>Prueba multi-tenant en PostgreSQL real pendiente</x:v>
      </x:c>
      <x:c r="C10" s="17" t="str">
        <x:v>Crítica</x:v>
      </x:c>
      <x:c r="D10" s="17" t="str">
        <x:v>Estado-Actual</x:v>
      </x:c>
      <x:c r="E10" s="17" t="str">
        <x:v>Fuga de datos entre negocios</x:v>
      </x:c>
      <x:c r="F10" s="17" t="str">
        <x:v>Pendiente</x:v>
      </x:c>
      <x:c r="G10" s="17" t="str">
        <x:v>Prueba automatizada cross-tenant en BD real</x:v>
      </x:c>
      <x:c r="H10" s="17" t="str">
        <x:v>Sprint 8</x:v>
      </x:c>
      <x:c r="I10" s="17" t="str">
        <x:v>Dev/QA</x:v>
      </x:c>
      <x:c r="J10" s="17" t="str">
        <x:v>0 accesos cruzados exitosos.</x:v>
      </x:c>
    </x:row>
    <x:row r="11">
      <x:c r="A11" s="17" t="str">
        <x:v>SF-008</x:v>
      </x:c>
      <x:c r="B11" s="17" t="str">
        <x:v>Regresión física Safari/iPhone/Android pendiente</x:v>
      </x:c>
      <x:c r="C11" s="17" t="str">
        <x:v>Media</x:v>
      </x:c>
      <x:c r="D11" s="17" t="str">
        <x:v>Estado-Actual</x:v>
      </x:c>
      <x:c r="E11" s="17" t="str">
        <x:v>Fallos de seguridad/usabilidad no vistos en Chromium</x:v>
      </x:c>
      <x:c r="F11" s="17" t="str">
        <x:v>Pendiente</x:v>
      </x:c>
      <x:c r="G11" s="17" t="str">
        <x:v>Pruebas físicas</x:v>
      </x:c>
      <x:c r="H11" s="17" t="str">
        <x:v>Sprint 8</x:v>
      </x:c>
      <x:c r="I11" s="17" t="str">
        <x:v>QA</x:v>
      </x:c>
      <x:c r="J11" s="17" t="str">
        <x:v>Resultados documentados.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44" hidden="0" customWidth="1"/>
    <x:col min="5" max="5" width="54" hidden="0" customWidth="1"/>
    <x:col min="6" max="6" width="14" hidden="0" customWidth="1"/>
    <x:col min="7" max="7" width="22" hidden="0" customWidth="1"/>
    <x:col min="8" max="8" width="18" hidden="0" customWidth="1"/>
    <x:col min="9" max="9" width="16" hidden="0" customWidth="1"/>
    <x:col min="10" max="10" width="42" hidden="0" customWidth="1"/>
  </x:cols>
  <x:sheetData>
    <x:row r="1" ht="28" customHeight="1">
      <x:c r="A1" s="4" t="str">
        <x:v>BACKLOG DE SEGURIDAD INTEGRADO A SCRUM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Item</x:v>
      </x:c>
      <x:c r="B3" s="11" t="str">
        <x:v>Origen</x:v>
      </x:c>
      <x:c r="C3" s="11" t="str">
        <x:v>Tipo</x:v>
      </x:c>
      <x:c r="D3" s="11" t="str">
        <x:v>Descripción</x:v>
      </x:c>
      <x:c r="E3" s="11" t="str">
        <x:v>Criterio de aceptación</x:v>
      </x:c>
      <x:c r="F3" s="11" t="str">
        <x:v>Prioridad</x:v>
      </x:c>
      <x:c r="G3" s="11" t="str">
        <x:v>Objetivo</x:v>
      </x:c>
      <x:c r="H3" s="11" t="str">
        <x:v>Estado</x:v>
      </x:c>
      <x:c r="I3" s="11" t="str">
        <x:v>Owner</x:v>
      </x:c>
      <x:c r="J3" s="11" t="str">
        <x:v>No hacer</x:v>
      </x:c>
    </x:row>
    <x:row r="4">
      <x:c r="A4" s="17" t="str">
        <x:v>SEC-TASK-01</x:v>
      </x:c>
      <x:c r="B4" s="17" t="str">
        <x:v>SF-001</x:v>
      </x:c>
      <x:c r="C4" s="17" t="str">
        <x:v>Task</x:v>
      </x:c>
      <x:c r="D4" s="17" t="str">
        <x:v>Rotar secretos/credenciales históricas</x:v>
      </x:c>
      <x:c r="E4" s="17" t="str">
        <x:v>Ningún secreto activo coincide con valores previamente publicados; despliegue actualizado.</x:v>
      </x:c>
      <x:c r="F4" s="17" t="str">
        <x:v>Crítica</x:v>
      </x:c>
      <x:c r="G4" s="17" t="str">
        <x:v>Sprint 8</x:v>
      </x:c>
      <x:c r="H4" s="17" t="str">
        <x:v>Pendiente</x:v>
      </x:c>
      <x:c r="I4" s="17" t="str">
        <x:v>Dev</x:v>
      </x:c>
      <x:c r="J4" s="17" t="str">
        <x:v>No pegar secretos en evidencia.</x:v>
      </x:c>
    </x:row>
    <x:row r="5">
      <x:c r="A5" s="17" t="str">
        <x:v>SEC-TASK-02</x:v>
      </x:c>
      <x:c r="B5" s="17" t="str">
        <x:v>SF-002</x:v>
      </x:c>
      <x:c r="C5" s="17" t="str">
        <x:v>Task</x:v>
      </x:c>
      <x:c r="D5" s="17" t="str">
        <x:v>Fail-fast de SESSION_SECRET en producción</x:v>
      </x:c>
      <x:c r="E5" s="17" t="str">
        <x:v>Proceso de producción rechaza arrancar si no existe secreto fuerte configurado.</x:v>
      </x:c>
      <x:c r="F5" s="17" t="str">
        <x:v>Crítica</x:v>
      </x:c>
      <x:c r="G5" s="17" t="str">
        <x:v>Sprint 8</x:v>
      </x:c>
      <x:c r="H5" s="17" t="str">
        <x:v>Pendiente</x:v>
      </x:c>
      <x:c r="I5" s="17" t="str">
        <x:v>Dev</x:v>
      </x:c>
      <x:c r="J5" s="17" t="str">
        <x:v>No usar secreto default.</x:v>
      </x:c>
    </x:row>
    <x:row r="6">
      <x:c r="A6" s="17" t="str">
        <x:v>SEC-TASK-03</x:v>
      </x:c>
      <x:c r="B6" s="17" t="str">
        <x:v>SF-007</x:v>
      </x:c>
      <x:c r="C6" s="17" t="str">
        <x:v>Task QA</x:v>
      </x:c>
      <x:c r="D6" s="17" t="str">
        <x:v>Prueba cross-tenant PostgreSQL</x:v>
      </x:c>
      <x:c r="E6" s="17" t="str">
        <x:v>Todas las rutas críticas rechazan IDs de otro tenant; evidencia automatizada.</x:v>
      </x:c>
      <x:c r="F6" s="17" t="str">
        <x:v>Crítica</x:v>
      </x:c>
      <x:c r="G6" s="17" t="str">
        <x:v>Sprint 8</x:v>
      </x:c>
      <x:c r="H6" s="17" t="str">
        <x:v>Pendiente</x:v>
      </x:c>
      <x:c r="I6" s="17" t="str">
        <x:v>Dev/QA</x:v>
      </x:c>
      <x:c r="J6" s="17" t="str">
        <x:v>No probar con datos reales.</x:v>
      </x:c>
    </x:row>
    <x:row r="7">
      <x:c r="A7" s="17" t="str">
        <x:v>SEC-TASK-04</x:v>
      </x:c>
      <x:c r="B7" s="17" t="str">
        <x:v>SF-006</x:v>
      </x:c>
      <x:c r="C7" s="17" t="str">
        <x:v>Task Ops</x:v>
      </x:c>
      <x:c r="D7" s="17" t="str">
        <x:v>Backup + restore</x:v>
      </x:c>
      <x:c r="E7" s="17" t="str">
        <x:v>Snapshot de prueba restaurado y validado.</x:v>
      </x:c>
      <x:c r="F7" s="17" t="str">
        <x:v>Crítica</x:v>
      </x:c>
      <x:c r="G7" s="17" t="str">
        <x:v>Sprint 8</x:v>
      </x:c>
      <x:c r="H7" s="17" t="str">
        <x:v>Pendiente</x:v>
      </x:c>
      <x:c r="I7" s="17" t="str">
        <x:v>Dev/QA</x:v>
      </x:c>
      <x:c r="J7" s="17" t="str">
        <x:v>No declarar backup probado solo por existir.</x:v>
      </x:c>
    </x:row>
    <x:row r="8">
      <x:c r="A8" s="17" t="str">
        <x:v>SEC-TASK-05</x:v>
      </x:c>
      <x:c r="B8" s="17" t="str">
        <x:v>SF-005</x:v>
      </x:c>
      <x:c r="C8" s="17" t="str">
        <x:v>Task CI</x:v>
      </x:c>
      <x:c r="D8" s="17" t="str">
        <x:v>Agregar scanning de dependencias/secretos</x:v>
      </x:c>
      <x:c r="E8" s="17" t="str">
        <x:v>Pipeline genera resultado reproducible y criterio de acción.</x:v>
      </x:c>
      <x:c r="F8" s="17" t="str">
        <x:v>Alta</x:v>
      </x:c>
      <x:c r="G8" s="17" t="str">
        <x:v>Sprint 8 / roadmap</x:v>
      </x:c>
      <x:c r="H8" s="17" t="str">
        <x:v>Pendiente</x:v>
      </x:c>
      <x:c r="I8" s="17" t="str">
        <x:v>Dev</x:v>
      </x:c>
      <x:c r="J8" s="17" t="str">
        <x:v>No bloquear tesis por hallazgos informativos sin criterio.</x:v>
      </x:c>
    </x:row>
    <x:row r="9">
      <x:c r="A9" s="17" t="str">
        <x:v>SEC-TASK-06</x:v>
      </x:c>
      <x:c r="B9" s="17" t="str">
        <x:v>SEC-008</x:v>
      </x:c>
      <x:c r="C9" s="17" t="str">
        <x:v>Task QA</x:v>
      </x:c>
      <x:c r="D9" s="17" t="str">
        <x:v>Verificar CORS/Helmet producción</x:v>
      </x:c>
      <x:c r="E9" s="17" t="str">
        <x:v>Origen no autorizado sin CORS y headers defensivos presentes.</x:v>
      </x:c>
      <x:c r="F9" s="17" t="str">
        <x:v>Alta</x:v>
      </x:c>
      <x:c r="G9" s="17" t="str">
        <x:v>Sprint 8</x:v>
      </x:c>
      <x:c r="H9" s="17" t="str">
        <x:v>Pendiente</x:v>
      </x:c>
      <x:c r="I9" s="17" t="str">
        <x:v>QA</x:v>
      </x:c>
      <x:c r="J9" s="17" t="str">
        <x:v>No inferir desde código solamente.</x:v>
      </x:c>
    </x:row>
    <x:row r="10">
      <x:c r="A10" s="17" t="str">
        <x:v>SEC-TASK-07</x:v>
      </x:c>
      <x:c r="B10" s="17" t="str">
        <x:v>SF-004</x:v>
      </x:c>
      <x:c r="C10" s="17" t="str">
        <x:v>Spike</x:v>
      </x:c>
      <x:c r="D10" s="17" t="str">
        <x:v>Evaluar MFA owner/admin</x:v>
      </x:c>
      <x:c r="E10" s="17" t="str">
        <x:v>Decisión técnica/costo/UX documentada.</x:v>
      </x:c>
      <x:c r="F10" s="17" t="str">
        <x:v>Media/Alta</x:v>
      </x:c>
      <x:c r="G10" s="17" t="str">
        <x:v>Roadmap</x:v>
      </x:c>
      <x:c r="H10" s="17" t="str">
        <x:v>Pendiente</x:v>
      </x:c>
      <x:c r="I10" s="17" t="str">
        <x:v>PO/Dev</x:v>
      </x:c>
      <x:c r="J10" s="17" t="str">
        <x:v>No ampliar alcance funcional antes de cierre.</x:v>
      </x:c>
    </x:row>
    <x:row r="11">
      <x:c r="A11" s="17" t="str">
        <x:v>SEC-TASK-08</x:v>
      </x:c>
      <x:c r="B11" s="17" t="str">
        <x:v>SF-003</x:v>
      </x:c>
      <x:c r="C11" s="17" t="str">
        <x:v>Spike</x:v>
      </x:c>
      <x:c r="D11" s="17" t="str">
        <x:v>Rate limiting distribuido</x:v>
      </x:c>
      <x:c r="E11" s="17" t="str">
        <x:v>Opciones y trigger de adopción documentados.</x:v>
      </x:c>
      <x:c r="F11" s="17" t="str">
        <x:v>Media</x:v>
      </x:c>
      <x:c r="G11" s="17" t="str">
        <x:v>Roadmap</x:v>
      </x:c>
      <x:c r="H11" s="17" t="str">
        <x:v>Pendiente</x:v>
      </x:c>
      <x:c r="I11" s="17" t="str">
        <x:v>Dev</x:v>
      </x:c>
      <x:c r="J11" s="17" t="str">
        <x:v>No sobrediseñar para tesis.</x:v>
      </x:c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8" hidden="0" customWidth="1"/>
    <x:col min="3" max="3" width="30" hidden="0" customWidth="1"/>
    <x:col min="4" max="4" width="26" hidden="0" customWidth="1"/>
    <x:col min="5" max="5" width="24" hidden="0" customWidth="1"/>
    <x:col min="6" max="6" width="22" hidden="0" customWidth="1"/>
    <x:col min="7" max="7" width="42" hidden="0" customWidth="1"/>
  </x:cols>
  <x:sheetData>
    <x:row r="1" ht="28" customHeight="1">
      <x:c r="A1" s="4" t="str">
        <x:v>INDICADORES DE SEGURIDAD Y ESTADO DOCUMENTAL</x:v>
      </x:c>
      <x:c r="B1" s="4"/>
      <x:c r="C1" s="4"/>
      <x:c r="D1" s="4"/>
      <x:c r="E1" s="4"/>
      <x:c r="F1" s="4"/>
      <x:c r="G1" s="4"/>
    </x:row>
    <x:row r="3">
      <x:c r="A3" s="11" t="str">
        <x:v>Indicador</x:v>
      </x:c>
      <x:c r="B3" s="11" t="str">
        <x:v>Definición</x:v>
      </x:c>
      <x:c r="C3" s="11" t="str">
        <x:v>Fórmula / señal</x:v>
      </x:c>
      <x:c r="D3" s="11" t="str">
        <x:v>Meta</x:v>
      </x:c>
      <x:c r="E3" s="11" t="str">
        <x:v>Estado actual</x:v>
      </x:c>
      <x:c r="F3" s="11" t="str">
        <x:v>Frecuencia</x:v>
      </x:c>
      <x:c r="G3" s="11" t="str">
        <x:v>Observación</x:v>
      </x:c>
    </x:row>
    <x:row r="4">
      <x:c r="A4" s="17" t="str">
        <x:v>Accesos cross-tenant exitosos</x:v>
      </x:c>
      <x:c r="B4" s="17" t="str">
        <x:v>Casos donde un tenant obtiene dato de otro</x:v>
      </x:c>
      <x:c r="C4" s="17" t="str">
        <x:v>Conteo</x:v>
      </x:c>
      <x:c r="D4" s="17" t="str">
        <x:v>0</x:v>
      </x:c>
      <x:c r="E4" s="17" t="str">
        <x:v>Debe ser 0</x:v>
      </x:c>
      <x:c r="F4" s="17" t="str">
        <x:v>CI / Sprint</x:v>
      </x:c>
      <x:c r="G4" s="17" t="str">
        <x:v>Control de máxima prioridad.</x:v>
      </x:c>
    </x:row>
    <x:row r="5">
      <x:c r="A5" s="17" t="str">
        <x:v>Secretos históricos activos</x:v>
      </x:c>
      <x:c r="B5" s="17" t="str">
        <x:v>Credenciales activas coincidentes con material publicado</x:v>
      </x:c>
      <x:c r="C5" s="17" t="str">
        <x:v>Conteo</x:v>
      </x:c>
      <x:c r="D5" s="17" t="str">
        <x:v>0</x:v>
      </x:c>
      <x:c r="E5" s="17" t="str">
        <x:v>Acción requerida</x:v>
      </x:c>
      <x:c r="F5" s="17" t="str">
        <x:v>Antes de release</x:v>
      </x:c>
      <x:c r="G5" s="17" t="str">
        <x:v>No guardar el valor en el informe.</x:v>
      </x:c>
    </x:row>
    <x:row r="6">
      <x:c r="A6" s="17" t="str">
        <x:v>Casos críticos de seguridad con evidencia</x:v>
      </x:c>
      <x:c r="B6" s="17" t="str">
        <x:v>Pruebas críticas cerradas con evidencia</x:v>
      </x:c>
      <x:c r="C6" s="17" t="str">
        <x:v>cerrados / planificados</x:v>
      </x:c>
      <x:c r="D6" s="17" t="str">
        <x:v>100% antes de defensa</x:v>
      </x:c>
      <x:c r="E6" s="17" t="str">
        <x:v>Parcial</x:v>
      </x:c>
      <x:c r="F6" s="17" t="str">
        <x:v>Sprint Review</x:v>
      </x:c>
      <x:c r="G6" s="17" t="str">
        <x:v>Incluye tenant, secretos, restore, idempotencia.</x:v>
      </x:c>
    </x:row>
    <x:row r="7">
      <x:c r="A7" s="17" t="str">
        <x:v>Dependencias críticas sin tratamiento</x:v>
      </x:c>
      <x:c r="B7" s="17" t="str">
        <x:v>Hallazgos SCA críticos abiertos</x:v>
      </x:c>
      <x:c r="C7" s="17" t="str">
        <x:v>Conteo</x:v>
      </x:c>
      <x:c r="D7" s="17" t="str">
        <x:v>0 o excepción documentada</x:v>
      </x:c>
      <x:c r="E7" s="17" t="str">
        <x:v>Sin baseline</x:v>
      </x:c>
      <x:c r="F7" s="17" t="str">
        <x:v>CI</x:v>
      </x:c>
      <x:c r="G7" s="17" t="str">
        <x:v>Primero incorporar SCA.</x:v>
      </x:c>
    </x:row>
    <x:row r="8">
      <x:c r="A8" s="17" t="str">
        <x:v>Intentos bloqueados por rate limit</x:v>
      </x:c>
      <x:c r="B8" s="17" t="str">
        <x:v>429 por abuso</x:v>
      </x:c>
      <x:c r="C8" s="17" t="str">
        <x:v>Conteo</x:v>
      </x:c>
      <x:c r="D8" s="17" t="str">
        <x:v>Monitorear</x:v>
      </x:c>
      <x:c r="E8" s="17" t="str">
        <x:v>Disponible técnicamente</x:v>
      </x:c>
      <x:c r="F8" s="17" t="str">
        <x:v>Operación</x:v>
      </x:c>
      <x:c r="G8" s="17" t="str">
        <x:v>No usar como KPI de éxito por sí solo.</x:v>
      </x:c>
    </x:row>
    <x:row r="9">
      <x:c r="A9" s="17" t="str">
        <x:v>Tiempo de revocación de secreto</x:v>
      </x:c>
      <x:c r="B9" s="17" t="str">
        <x:v>Tiempo entre hallazgo y rotación</x:v>
      </x:c>
      <x:c r="C9" s="17" t="str">
        <x:v>Horas/días</x:v>
      </x:c>
      <x:c r="D9" s="17" t="str">
        <x:v>Definir objetivo</x:v>
      </x:c>
      <x:c r="E9" s="17" t="str">
        <x:v>Sin histórico</x:v>
      </x:c>
      <x:c r="F9" s="17" t="str">
        <x:v>Por incidente</x:v>
      </x:c>
      <x:c r="G9" s="17" t="str">
        <x:v>No inventar promedio.</x:v>
      </x:c>
    </x:row>
    <x:row r="10">
      <x:c r="A10" s="17" t="str">
        <x:v>Restauraciones verificadas</x:v>
      </x:c>
      <x:c r="B10" s="17" t="str">
        <x:v>Restore exitoso de backup de prueba</x:v>
      </x:c>
      <x:c r="C10" s="17" t="str">
        <x:v>Conteo</x:v>
      </x:c>
      <x:c r="D10" s="17" t="str">
        <x:v>≥1 antes de datos reales</x:v>
      </x:c>
      <x:c r="E10" s="17" t="str">
        <x:v>0 documentadas</x:v>
      </x:c>
      <x:c r="F10" s="17" t="str">
        <x:v>Antes producción</x:v>
      </x:c>
      <x:c r="G10" s="17" t="str">
        <x:v>Evidencia obligatoria.</x:v>
      </x:c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4" hidden="0" customWidth="1"/>
    <x:col min="4" max="4" width="24" hidden="0" customWidth="1"/>
    <x:col min="5" max="5" width="16" hidden="0" customWidth="1"/>
  </x:cols>
  <x:sheetData>
    <x:row r="1" ht="28" customHeight="1">
      <x:c r="A1" s="4" t="str">
        <x:v>DASHBOARD DOCUMENTAL DE SEGURIDAD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Métrica</x:v>
      </x:c>
      <x:c r="B3" s="16" t="str">
        <x:v>Valor</x:v>
      </x:c>
      <x:c r="D3" s="16" t="str">
        <x:v>Estado</x:v>
      </x:c>
      <x:c r="E3" s="16" t="str">
        <x:v>Cantidad</x:v>
      </x:c>
    </x:row>
    <x:row r="4">
      <x:c r="A4" s="17" t="str">
        <x:v>Requerimientos documentados</x:v>
      </x:c>
      <x:c r="B4" s="17" t="n">
        <x:f>COUNTA('01_Requerimientos'!A4:A19)</x:f>
        <x:v>16</x:v>
      </x:c>
      <x:c r="D4" s="17" t="str">
        <x:v>Implementado</x:v>
      </x:c>
      <x:c r="E4" s="17" t="n">
        <x:f>B5</x:f>
        <x:v>12</x:v>
      </x:c>
    </x:row>
    <x:row r="5">
      <x:c r="A5" s="17" t="str">
        <x:v>Implementados / implementados con validación</x:v>
      </x:c>
      <x:c r="B5" s="17" t="n">
        <x:f>COUNTIF('01_Requerimientos'!F4:F19,"Implementado")+COUNTIF('01_Requerimientos'!F4:F19,"Implementado / básico")+COUNTIF('01_Requerimientos'!F4:F19,"Implementado / validar")+COUNTIF('01_Requerimientos'!F4:F19,"Implementado en esquema")+COUNTIF('01_Requerimientos'!F4:F19,"Implementado / limitado")+COUNTIF('01_Requerimientos'!F4:F19,"Implementado conceptualmente")</x:f>
        <x:v>12</x:v>
      </x:c>
      <x:c r="D5" s="17" t="str">
        <x:v>Parcial</x:v>
      </x:c>
      <x:c r="E5" s="17" t="n">
        <x:f>B6</x:f>
        <x:v>3</x:v>
      </x:c>
    </x:row>
    <x:row r="6">
      <x:c r="A6" s="17" t="str">
        <x:v>Parciales / acción requerida</x:v>
      </x:c>
      <x:c r="B6" s="17" t="n">
        <x:f>COUNTIF('01_Requerimientos'!F4:F19,"Parcial / acción requerida")+COUNTIF('01_Requerimientos'!F4:F19,"Parcial")</x:f>
        <x:v>3</x:v>
      </x:c>
      <x:c r="D6" s="17" t="str">
        <x:v>Pendiente</x:v>
      </x:c>
      <x:c r="E6" s="17" t="n">
        <x:f>B7</x:f>
        <x:v>1</x:v>
      </x:c>
    </x:row>
    <x:row r="7">
      <x:c r="A7" s="17" t="str">
        <x:v>Pendientes</x:v>
      </x:c>
      <x:c r="B7" s="17" t="n">
        <x:f>COUNTIF('01_Requerimientos'!F4:F19,"Pendiente")</x:f>
        <x:v>1</x:v>
      </x:c>
    </x:row>
    <x:row r="8">
      <x:c r="A8" s="17" t="str">
        <x:v>Hallazgos críticos</x:v>
      </x:c>
      <x:c r="B8" s="17" t="n">
        <x:f>COUNTIF('06_Hallazgos'!C4:C11,"Crítica")</x:f>
        <x:v>3</x:v>
      </x:c>
    </x:row>
    <x:row r="9">
      <x:c r="A9" s="17" t="str">
        <x:v>Hallazgos abiertos/pendientes</x:v>
      </x:c>
      <x:c r="B9" s="17" t="n">
        <x:f>COUNTIF('06_Hallazgos'!F4:F11,"&lt;&gt;Aceptado tesis")</x:f>
        <x:v>7</x:v>
      </x:c>
    </x:row>
    <x:row r="10">
      <x:c r="A10" s="17" t="str">
        <x:v>Pruebas de seguridad diseñadas</x:v>
      </x:c>
      <x:c r="B10" s="17" t="n">
        <x:f>COUNTA('05_Pruebas_Seguridad'!A4:A17)</x:f>
        <x:v>14</x:v>
      </x:c>
    </x:row>
    <x:row r="11">
      <x:c r="A11" s="17" t="str">
        <x:v>Nota</x:v>
      </x:c>
      <x:c r="B11" s="17" t="str">
        <x:v>Estado documental; no certificación ni pentest de producción.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1e353ddc3c34865"/>
</x:worksheet>
</file>