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cab4f073e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6713c0f0586c4858"/>
    <x:sheet xmlns:r="http://schemas.openxmlformats.org/officeDocument/2006/relationships" name="01_Requerimientos_KPI" sheetId="2" r:id="R2d969fc7a4b84e20"/>
    <x:sheet xmlns:r="http://schemas.openxmlformats.org/officeDocument/2006/relationships" name="02_Modelo_Dimensional" sheetId="3" r:id="Rf73ee88c176d4256"/>
    <x:sheet xmlns:r="http://schemas.openxmlformats.org/officeDocument/2006/relationships" name="03_Diccionario_Datos" sheetId="4" r:id="R3507e27e0e9e44c4"/>
    <x:sheet xmlns:r="http://schemas.openxmlformats.org/officeDocument/2006/relationships" name="04_Mapeo_ETL" sheetId="5" r:id="R1997d9d112324fef"/>
    <x:sheet xmlns:r="http://schemas.openxmlformats.org/officeDocument/2006/relationships" name="05_Calidad_Datos" sheetId="6" r:id="Rb5ad8dd48e244958"/>
    <x:sheet xmlns:r="http://schemas.openxmlformats.org/officeDocument/2006/relationships" name="06_Dashboard_Spec" sheetId="7" r:id="Rea3cb909afb44847"/>
    <x:sheet xmlns:r="http://schemas.openxmlformats.org/officeDocument/2006/relationships" name="07_Pruebas_BI" sheetId="8" r:id="Rc2ff16bf1c6049d4"/>
    <x:sheet xmlns:r="http://schemas.openxmlformats.org/officeDocument/2006/relationships" name="08_Trazabilidad_Scrum" sheetId="9" r:id="R71fa9ee03e184d53"/>
    <x:sheet xmlns:r="http://schemas.openxmlformats.org/officeDocument/2006/relationships" name="09_Estado" sheetId="10" r:id="Rd35198ee587c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F3D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65fed6ec646fa" /><Relationship Type="http://schemas.openxmlformats.org/officeDocument/2006/relationships/theme" Target="/xl/theme/theme1.xml" Id="R3e1f81957abd4a51" /><Relationship Type="http://schemas.openxmlformats.org/officeDocument/2006/relationships/sharedStrings" Target="/xl/sharedStrings.xml" Id="R081767ac3d504715" /><Relationship Type="http://schemas.openxmlformats.org/officeDocument/2006/relationships/worksheet" Target="/xl/worksheets/sheet1.xml" Id="R6713c0f0586c4858" /><Relationship Type="http://schemas.openxmlformats.org/officeDocument/2006/relationships/worksheet" Target="/xl/worksheets/sheet2.xml" Id="R2d969fc7a4b84e20" /><Relationship Type="http://schemas.openxmlformats.org/officeDocument/2006/relationships/worksheet" Target="/xl/worksheets/sheet3.xml" Id="Rf73ee88c176d4256" /><Relationship Type="http://schemas.openxmlformats.org/officeDocument/2006/relationships/worksheet" Target="/xl/worksheets/sheet4.xml" Id="R3507e27e0e9e44c4" /><Relationship Type="http://schemas.openxmlformats.org/officeDocument/2006/relationships/worksheet" Target="/xl/worksheets/sheet5.xml" Id="R1997d9d112324fef" /><Relationship Type="http://schemas.openxmlformats.org/officeDocument/2006/relationships/worksheet" Target="/xl/worksheets/sheet6.xml" Id="Rb5ad8dd48e244958" /><Relationship Type="http://schemas.openxmlformats.org/officeDocument/2006/relationships/worksheet" Target="/xl/worksheets/sheet7.xml" Id="Rea3cb909afb44847" /><Relationship Type="http://schemas.openxmlformats.org/officeDocument/2006/relationships/worksheet" Target="/xl/worksheets/sheet8.xml" Id="Rc2ff16bf1c6049d4" /><Relationship Type="http://schemas.openxmlformats.org/officeDocument/2006/relationships/worksheet" Target="/xl/worksheets/sheet9.xml" Id="R71fa9ee03e184d53" /><Relationship Type="http://schemas.openxmlformats.org/officeDocument/2006/relationships/worksheet" Target="/xl/worksheets/sheet10.xml" Id="Rd35198ee587c46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62758ae19c44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KPIs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'09_Estado'!$D$4:$D$6</c:f>
              <c:strCache>
                <c:ptCount val="0"/>
              </c:strCache>
            </c:strRef>
          </c:cat>
          <c:val>
            <c:numRef>
              <c:f>'09_Estado'!$E$4:$E$6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62758ae19c447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306e074b744439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4" max="4" width="22" hidden="0" customWidth="1"/>
    <x:col min="5" max="5" width="68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4" t="str">
        <x:v>LOCALITO - MODELO DE INTELIGENCIA DE NEGOCIOS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Metodología</x:v>
      </x:c>
      <x:c r="B3" s="17" t="str">
        <x:v>Kimball / enfoque dimensional</x:v>
      </x:c>
      <x:c r="D3" s="21" t="str">
        <x:v>Decisiones de diseño</x:v>
      </x:c>
      <x:c r="E3" s="21"/>
      <x:c r="F3" s="21"/>
      <x:c r="G3" s="21"/>
      <x:c r="H3" s="21"/>
    </x:row>
    <x:row r="4">
      <x:c r="A4" s="16" t="str">
        <x:v>Data Mart principal</x:v>
      </x:c>
      <x:c r="B4" s="17" t="str">
        <x:v>Ventas</x:v>
      </x:c>
      <x:c r="D4" s="17" t="str">
        <x:v>Kimball</x:v>
      </x:c>
      <x:c r="E4" s="17" t="str">
        <x:v>Se adopta porque el ramo exige explícitamente modelo dimensional, ETL y dashboard.</x:v>
      </x:c>
    </x:row>
    <x:row r="5">
      <x:c r="A5" s="16" t="str">
        <x:v>Grano principal</x:v>
      </x:c>
      <x:c r="B5" s="17" t="str">
        <x:v>1 línea de producto por venta</x:v>
      </x:c>
      <x:c r="D5" s="17" t="str">
        <x:v>Esquema estrella</x:v>
      </x:c>
      <x:c r="E5" s="17" t="str">
        <x:v>Simplifica filtros y análisis frente al OLTP normalizado.</x:v>
      </x:c>
    </x:row>
    <x:row r="6">
      <x:c r="A6" s="16" t="str">
        <x:v>Hecho central</x:v>
      </x:c>
      <x:c r="B6" s="17" t="str">
        <x:v>FactVentaDetalle</x:v>
      </x:c>
      <x:c r="D6" s="17" t="str">
        <x:v>Surrogate keys</x:v>
      </x:c>
      <x:c r="E6" s="17" t="str">
        <x:v>Separan las claves analíticas de UUID operacionales.</x:v>
      </x:c>
    </x:row>
    <x:row r="7">
      <x:c r="A7" s="16" t="str">
        <x:v>Dimensiones</x:v>
      </x:c>
      <x:c r="B7" s="17" t="str">
        <x:v>Fecha, Negocio, Producto, Cliente, Usuario, Método de Pago, Venta</x:v>
      </x:c>
      <x:c r="D7" s="17" t="str">
        <x:v>Ventas netas</x:v>
      </x:c>
      <x:c r="E7" s="17" t="str">
        <x:v>Se distribuye el descuento de cabecera proporcionalmente por línea.</x:v>
      </x:c>
    </x:row>
    <x:row r="8">
      <x:c r="A8" s="16" t="str">
        <x:v>Fuente operacional</x:v>
      </x:c>
      <x:c r="B8" s="17" t="str">
        <x:v>PostgreSQL/Supabase Localito</x:v>
      </x:c>
      <x:c r="D8" s="17" t="str">
        <x:v>Margen</x:v>
      </x:c>
      <x:c r="E8" s="17" t="str">
        <x:v>No se declara histórico exacto porque detalle_ventas no conserva costo unitario snapshot.</x:v>
      </x:c>
    </x:row>
    <x:row r="9">
      <x:c r="A9" s="16" t="str">
        <x:v>ETL/ELT</x:v>
      </x:c>
      <x:c r="B9" s="17" t="str">
        <x:v>Propuesta SQL en ambiente separado</x:v>
      </x:c>
      <x:c r="D9" s="17" t="str">
        <x:v>Fiado</x:v>
      </x:c>
      <x:c r="E9" s="17" t="str">
        <x:v>Se documenta como segundo dominio analítico; no se mezcla en FactVentaDetalle sin diseño específico.</x:v>
      </x:c>
    </x:row>
    <x:row r="10">
      <x:c r="A10" s="16" t="str">
        <x:v>Visualización</x:v>
      </x:c>
      <x:c r="B10" s="17" t="str">
        <x:v>Power BI (entregable objetivo del ramo)</x:v>
      </x:c>
      <x:c r="D10" s="17" t="str">
        <x:v>Inventario</x:v>
      </x:c>
      <x:c r="E10" s="17" t="str">
        <x:v>Para tendencias se requiere snapshot periódico; stock_actual por sí solo es estado presente.</x:v>
      </x:c>
    </x:row>
    <x:row r="11">
      <x:c r="A11" s="16" t="str">
        <x:v>Estado</x:v>
      </x:c>
      <x:c r="B11" s="17" t="str">
        <x:v>Diseño y scripts preparados; Data Mart/Power BI no ejecutados todavía</x:v>
      </x:c>
      <x:c r="D11" s="17" t="str">
        <x:v>Power BI</x:v>
      </x:c>
      <x:c r="E11" s="17" t="str">
        <x:v>Se diseña el dashboard, pero no se afirma un PBIX ejecutado sin datos cargados.</x:v>
      </x:c>
    </x:row>
    <x:row r="12">
      <x:c r="A12" s="16" t="str">
        <x:v>Restricción clave</x:v>
      </x:c>
      <x:c r="B12" s="17" t="str">
        <x:v>No inventar resultados: KPIs se calculan solo con datos reales cargados</x:v>
      </x:c>
    </x:row>
    <x:row r="13">
      <x:c r="A13" s="16" t="str">
        <x:v>Corte técnico</x:v>
      </x:c>
      <x:c r="B13" s="17" t="str">
        <x:v>15-09-2026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0" hidden="0" customWidth="1"/>
    <x:col min="4" max="4" width="45" hidden="0" customWidth="1"/>
    <x:col min="5" max="5" width="38" hidden="0" customWidth="1"/>
    <x:col min="6" max="6" width="32" hidden="0" customWidth="1"/>
    <x:col min="7" max="7" width="36" hidden="0" customWidth="1"/>
    <x:col min="8" max="8" width="24" hidden="0" customWidth="1"/>
    <x:col min="9" max="9" width="14" hidden="0" customWidth="1"/>
    <x:col min="10" max="10" width="22" hidden="0" customWidth="1"/>
    <x:col min="11" max="11" width="48" hidden="0" customWidth="1"/>
  </x:cols>
  <x:sheetData>
    <x:row r="1" ht="28" customHeight="1">
      <x:c r="A1" s="4" t="str">
        <x:v>PREGUNTAS DE NEGOCIO Y KPIs - LOCALITO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ID</x:v>
      </x:c>
      <x:c r="B3" s="11" t="str">
        <x:v>Pregunta de negocio</x:v>
      </x:c>
      <x:c r="C3" s="11" t="str">
        <x:v>KPI / reporte</x:v>
      </x:c>
      <x:c r="D3" s="11" t="str">
        <x:v>Definición</x:v>
      </x:c>
      <x:c r="E3" s="11" t="str">
        <x:v>Fórmula conceptual</x:v>
      </x:c>
      <x:c r="F3" s="11" t="str">
        <x:v>Dimensiones</x:v>
      </x:c>
      <x:c r="G3" s="11" t="str">
        <x:v>Fuente OLTP</x:v>
      </x:c>
      <x:c r="H3" s="11" t="str">
        <x:v>Visual sugerido</x:v>
      </x:c>
      <x:c r="I3" s="11" t="str">
        <x:v>Prioridad</x:v>
      </x:c>
      <x:c r="J3" s="11" t="str">
        <x:v>Estado</x:v>
      </x:c>
      <x:c r="K3" s="11" t="str">
        <x:v>Advertencia</x:v>
      </x:c>
    </x:row>
    <x:row r="4">
      <x:c r="A4" s="17" t="str">
        <x:v>BI-01</x:v>
      </x:c>
      <x:c r="B4" s="17" t="str">
        <x:v>¿Cuánto se vende por período?</x:v>
      </x:c>
      <x:c r="C4" s="17" t="str">
        <x:v>Ventas netas</x:v>
      </x:c>
      <x:c r="D4" s="17" t="str">
        <x:v>Monto de ventas activas después de descuento asignado.</x:v>
      </x:c>
      <x:c r="E4" s="17" t="str">
        <x:v>SUM(neto_linea)</x:v>
      </x:c>
      <x:c r="F4" s="17" t="str">
        <x:v>Fecha, negocio</x:v>
      </x:c>
      <x:c r="G4" s="17" t="str">
        <x:v>ventas + detalle_ventas</x:v>
      </x:c>
      <x:c r="H4" s="17" t="str">
        <x:v>KPI + línea</x:v>
      </x:c>
      <x:c r="I4" s="17" t="str">
        <x:v>Crítica</x:v>
      </x:c>
      <x:c r="J4" s="17" t="str">
        <x:v>Diseñado</x:v>
      </x:c>
      <x:c r="K4" s="17" t="str">
        <x:v>No incluir anuladas.</x:v>
      </x:c>
    </x:row>
    <x:row r="5">
      <x:c r="A5" s="17" t="str">
        <x:v>BI-02</x:v>
      </x:c>
      <x:c r="B5" s="17" t="str">
        <x:v>¿Cuántas ventas se realizan?</x:v>
      </x:c>
      <x:c r="C5" s="17" t="str">
        <x:v>Cantidad de ventas</x:v>
      </x:c>
      <x:c r="D5" s="17" t="str">
        <x:v>Ventas activas distintas.</x:v>
      </x:c>
      <x:c r="E5" s="17" t="str">
        <x:v>COUNT DISTINCT venta_id</x:v>
      </x:c>
      <x:c r="F5" s="17" t="str">
        <x:v>Fecha, negocio, usuario</x:v>
      </x:c>
      <x:c r="G5" s="17" t="str">
        <x:v>ventas</x:v>
      </x:c>
      <x:c r="H5" s="17" t="str">
        <x:v>KPI + tendencia</x:v>
      </x:c>
      <x:c r="I5" s="17" t="str">
        <x:v>Alta</x:v>
      </x:c>
      <x:c r="J5" s="17" t="str">
        <x:v>Diseñado</x:v>
      </x:c>
      <x:c r="K5" s="17" t="str">
        <x:v>El grano de fact es línea; usar DISTINCT.</x:v>
      </x:c>
    </x:row>
    <x:row r="6">
      <x:c r="A6" s="17" t="str">
        <x:v>BI-03</x:v>
      </x:c>
      <x:c r="B6" s="17" t="str">
        <x:v>¿Cuál es el ticket promedio?</x:v>
      </x:c>
      <x:c r="C6" s="17" t="str">
        <x:v>Ticket promedio</x:v>
      </x:c>
      <x:c r="D6" s="17" t="str">
        <x:v>Ventas netas / número de ventas.</x:v>
      </x:c>
      <x:c r="E6" s="17" t="str">
        <x:v>Ventas netas / # ventas</x:v>
      </x:c>
      <x:c r="F6" s="17" t="str">
        <x:v>Fecha, negocio</x:v>
      </x:c>
      <x:c r="G6" s="17" t="str">
        <x:v>ventas + detalle_ventas</x:v>
      </x:c>
      <x:c r="H6" s="17" t="str">
        <x:v>KPI</x:v>
      </x:c>
      <x:c r="I6" s="17" t="str">
        <x:v>Alta</x:v>
      </x:c>
      <x:c r="J6" s="17" t="str">
        <x:v>Diseñado</x:v>
      </x:c>
      <x:c r="K6" s="17" t="str">
        <x:v>Evitar promedio por línea.</x:v>
      </x:c>
    </x:row>
    <x:row r="7">
      <x:c r="A7" s="17" t="str">
        <x:v>BI-04</x:v>
      </x:c>
      <x:c r="B7" s="17" t="str">
        <x:v>¿Qué productos/categorías venden más?</x:v>
      </x:c>
      <x:c r="C7" s="17" t="str">
        <x:v>Ventas por producto/categoría</x:v>
      </x:c>
      <x:c r="D7" s="17" t="str">
        <x:v>Monto y unidades vendidas por producto/categoría.</x:v>
      </x:c>
      <x:c r="E7" s="17" t="str">
        <x:v>SUM(neto_linea), SUM(cantidad)</x:v>
      </x:c>
      <x:c r="F7" s="17" t="str">
        <x:v>Producto, categoría, fecha</x:v>
      </x:c>
      <x:c r="G7" s="17" t="str">
        <x:v>productos, categorias, detalle_ventas</x:v>
      </x:c>
      <x:c r="H7" s="17" t="str">
        <x:v>Barras/treemap</x:v>
      </x:c>
      <x:c r="I7" s="17" t="str">
        <x:v>Crítica</x:v>
      </x:c>
      <x:c r="J7" s="17" t="str">
        <x:v>Diseñado</x:v>
      </x:c>
      <x:c r="K7" s="17" t="str">
        <x:v>Usar precio histórico de detalle.</x:v>
      </x:c>
    </x:row>
    <x:row r="8">
      <x:c r="A8" s="17" t="str">
        <x:v>BI-05</x:v>
      </x:c>
      <x:c r="B8" s="17" t="str">
        <x:v>¿Qué vendedores registran más ventas?</x:v>
      </x:c>
      <x:c r="C8" s="17" t="str">
        <x:v>Ventas por usuario</x:v>
      </x:c>
      <x:c r="D8" s="17" t="str">
        <x:v>Ventas netas y transacciones por usuario.</x:v>
      </x:c>
      <x:c r="E8" s="17" t="str">
        <x:v>SUM(neto_linea), COUNT DISTINCT venta</x:v>
      </x:c>
      <x:c r="F8" s="17" t="str">
        <x:v>Usuario, fecha</x:v>
      </x:c>
      <x:c r="G8" s="17" t="str">
        <x:v>usuarios, ventas</x:v>
      </x:c>
      <x:c r="H8" s="17" t="str">
        <x:v>Barras</x:v>
      </x:c>
      <x:c r="I8" s="17" t="str">
        <x:v>Media</x:v>
      </x:c>
      <x:c r="J8" s="17" t="str">
        <x:v>Diseñado</x:v>
      </x:c>
      <x:c r="K8" s="17" t="str">
        <x:v>No equivale a productividad laboral completa.</x:v>
      </x:c>
    </x:row>
    <x:row r="9">
      <x:c r="A9" s="17" t="str">
        <x:v>BI-06</x:v>
      </x:c>
      <x:c r="B9" s="17" t="str">
        <x:v>¿Cómo se distribuyen los medios de pago?</x:v>
      </x:c>
      <x:c r="C9" s="17" t="str">
        <x:v>Mix de pago</x:v>
      </x:c>
      <x:c r="D9" s="17" t="str">
        <x:v>Ventas por método principal.</x:v>
      </x:c>
      <x:c r="E9" s="17" t="str">
        <x:v>SUM(neto_linea) por metodo_pago</x:v>
      </x:c>
      <x:c r="F9" s="17" t="str">
        <x:v>Método, fecha</x:v>
      </x:c>
      <x:c r="G9" s="17" t="str">
        <x:v>ventas</x:v>
      </x:c>
      <x:c r="H9" s="17" t="str">
        <x:v>Donut/barra</x:v>
      </x:c>
      <x:c r="I9" s="17" t="str">
        <x:v>Media</x:v>
      </x:c>
      <x:c r="J9" s="17" t="str">
        <x:v>Diseñado</x:v>
      </x:c>
      <x:c r="K9" s="17" t="str">
        <x:v>Pago mixto queda como categoría si no se explota JSON detalle_pagos.</x:v>
      </x:c>
    </x:row>
    <x:row r="10">
      <x:c r="A10" s="17" t="str">
        <x:v>BI-07</x:v>
      </x:c>
      <x:c r="B10" s="17" t="str">
        <x:v>¿Cómo cambian las ventas en el tiempo?</x:v>
      </x:c>
      <x:c r="C10" s="17" t="str">
        <x:v>Tendencia / estacionalidad</x:v>
      </x:c>
      <x:c r="D10" s="17" t="str">
        <x:v>Comparar ventas por día, semana, mes y año.</x:v>
      </x:c>
      <x:c r="E10" s="17" t="str">
        <x:v>SUM(neto_linea)</x:v>
      </x:c>
      <x:c r="F10" s="17" t="str">
        <x:v>Fecha</x:v>
      </x:c>
      <x:c r="G10" s="17" t="str">
        <x:v>ventas</x:v>
      </x:c>
      <x:c r="H10" s="17" t="str">
        <x:v>Línea con drill-down</x:v>
      </x:c>
      <x:c r="I10" s="17" t="str">
        <x:v>Alta</x:v>
      </x:c>
      <x:c r="J10" s="17" t="str">
        <x:v>Diseñado</x:v>
      </x:c>
      <x:c r="K10" s="17" t="str">
        <x:v>Requiere DimFecha.</x:v>
      </x:c>
    </x:row>
    <x:row r="11">
      <x:c r="A11" s="17" t="str">
        <x:v>BI-08</x:v>
      </x:c>
      <x:c r="B11" s="17" t="str">
        <x:v>¿Cuánto fiado está pendiente/vencido?</x:v>
      </x:c>
      <x:c r="C11" s="17" t="str">
        <x:v>Saldo fiado</x:v>
      </x:c>
      <x:c r="D11" s="17" t="str">
        <x:v>Saldo pendiente actual y vencido.</x:v>
      </x:c>
      <x:c r="E11" s="17" t="str">
        <x:v>SUM(saldo_pendiente)</x:v>
      </x:c>
      <x:c r="F11" s="17" t="str">
        <x:v>Cliente, vencimiento, negocio</x:v>
      </x:c>
      <x:c r="G11" s="17" t="str">
        <x:v>cuentas_fiado</x:v>
      </x:c>
      <x:c r="H11" s="17" t="str">
        <x:v>KPI + tabla</x:v>
      </x:c>
      <x:c r="I11" s="17" t="str">
        <x:v>Alta</x:v>
      </x:c>
      <x:c r="J11" s="17" t="str">
        <x:v>Dominio separado</x:v>
      </x:c>
      <x:c r="K11" s="17" t="str">
        <x:v>Es snapshot actual; histórico requiere snapshots/eventos.</x:v>
      </x:c>
    </x:row>
    <x:row r="12">
      <x:c r="A12" s="17" t="str">
        <x:v>BI-09</x:v>
      </x:c>
      <x:c r="B12" s="17" t="str">
        <x:v>¿Qué productos están bajo mínimo?</x:v>
      </x:c>
      <x:c r="C12" s="17" t="str">
        <x:v>Stock bajo mínimo</x:v>
      </x:c>
      <x:c r="D12" s="17" t="str">
        <x:v>Cantidad de productos con stock_actual &lt;= stock_minimo.</x:v>
      </x:c>
      <x:c r="E12" s="17" t="str">
        <x:v>COUNT productos</x:v>
      </x:c>
      <x:c r="F12" s="17" t="str">
        <x:v>Producto/categoría</x:v>
      </x:c>
      <x:c r="G12" s="17" t="str">
        <x:v>productos</x:v>
      </x:c>
      <x:c r="H12" s="17" t="str">
        <x:v>Tabla/semáforo</x:v>
      </x:c>
      <x:c r="I12" s="17" t="str">
        <x:v>Alta</x:v>
      </x:c>
      <x:c r="J12" s="17" t="str">
        <x:v>Operacional</x:v>
      </x:c>
      <x:c r="K12" s="17" t="str">
        <x:v>No es tendencia histórica sin snapshot.</x:v>
      </x:c>
    </x:row>
    <x:row r="13">
      <x:c r="A13" s="17" t="str">
        <x:v>BI-10</x:v>
      </x:c>
      <x:c r="B13" s="17" t="str">
        <x:v>¿Existe diferencia de caja?</x:v>
      </x:c>
      <x:c r="C13" s="17" t="str">
        <x:v>Diferencia de caja</x:v>
      </x:c>
      <x:c r="D13" s="17" t="str">
        <x:v>Suma/absoluto de diferencias en cierres.</x:v>
      </x:c>
      <x:c r="E13" s="17" t="str">
        <x:v>SUM/ABS(diferencia)</x:v>
      </x:c>
      <x:c r="F13" s="17" t="str">
        <x:v>Fecha, usuario</x:v>
      </x:c>
      <x:c r="G13" s="17" t="str">
        <x:v>sesiones_caja / cierres_caja</x:v>
      </x:c>
      <x:c r="H13" s="17" t="str">
        <x:v>KPI + tabla</x:v>
      </x:c>
      <x:c r="I13" s="17" t="str">
        <x:v>Alta</x:v>
      </x:c>
      <x:c r="J13" s="17" t="str">
        <x:v>Diseñado futuro</x:v>
      </x:c>
      <x:c r="K13" s="17" t="str">
        <x:v>Definir fuente canónica de cierre.</x:v>
      </x:c>
    </x:row>
    <x:row r="14">
      <x:c r="A14" s="17" t="str">
        <x:v>BI-11</x:v>
      </x:c>
      <x:c r="B14" s="17" t="str">
        <x:v>¿Cuál es el margen bruto histórico?</x:v>
      </x:c>
      <x:c r="C14" s="17" t="str">
        <x:v>Margen bruto</x:v>
      </x:c>
      <x:c r="D14" s="17" t="str">
        <x:v>Venta neta menos costo histórico del producto.</x:v>
      </x:c>
      <x:c r="E14" s="17" t="str">
        <x:v>SUM(neto - costo_snapshot*cantidad)</x:v>
      </x:c>
      <x:c r="F14" s="17" t="str">
        <x:v>Fecha, producto</x:v>
      </x:c>
      <x:c r="G14" s="17" t="str">
        <x:v>detalle_ventas + costo snapshot</x:v>
      </x:c>
      <x:c r="H14" s="17" t="str">
        <x:v>KPI</x:v>
      </x:c>
      <x:c r="I14" s="17" t="str">
        <x:v>Deseable</x:v>
      </x:c>
      <x:c r="J14" s="17" t="str">
        <x:v>Bloqueado</x:v>
      </x:c>
      <x:c r="K14" s="17" t="str">
        <x:v>El OLTP actual no guarda costo unitario de la línea al vender.</x:v>
      </x:c>
    </x:row>
  </x:sheetData>
  <x:mergeCells>
    <x:mergeCell ref="A1:K1"/>
  </x:mergeCells>
  <x:conditionalFormatting sqref="J4:J14">
    <x:cfRule type="expression" dxfId="0" priority="1">
      <x:formula>J4="Diseñado"</x:formula>
    </x:cfRule>
    <x:cfRule type="expression" dxfId="1" priority="2">
      <x:formula>OR(J4="Dominio separado",J4="Operacional",J4="Diseñado futuro")</x:formula>
    </x:cfRule>
    <x:cfRule type="expression" dxfId="2" priority="3">
      <x:formula>J4="Bloqueado"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2" hidden="0" customWidth="1"/>
    <x:col min="4" max="4" width="30" hidden="0" customWidth="1"/>
    <x:col min="5" max="5" width="24" hidden="0" customWidth="1"/>
    <x:col min="6" max="6" width="52" hidden="0" customWidth="1"/>
    <x:col min="7" max="7" width="16" hidden="0" customWidth="1"/>
    <x:col min="8" max="8" width="34" hidden="0" customWidth="1"/>
    <x:col min="9" max="9" width="20" hidden="0" customWidth="1"/>
    <x:col min="10" max="10" width="44" hidden="0" customWidth="1"/>
  </x:cols>
  <x:sheetData>
    <x:row r="1" ht="28" customHeight="1">
      <x:c r="A1" s="4" t="str">
        <x:v>MODELO DIMENSIONAL - DATA MART VENTAS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Tabla</x:v>
      </x:c>
      <x:c r="B3" s="11" t="str">
        <x:v>Tipo</x:v>
      </x:c>
      <x:c r="C3" s="11" t="str">
        <x:v>Grano / propósito</x:v>
      </x:c>
      <x:c r="D3" s="11" t="str">
        <x:v>Business Key</x:v>
      </x:c>
      <x:c r="E3" s="11" t="str">
        <x:v>Surrogate Key</x:v>
      </x:c>
      <x:c r="F3" s="11" t="str">
        <x:v>Atributos / medidas</x:v>
      </x:c>
      <x:c r="G3" s="11" t="str">
        <x:v>SCD</x:v>
      </x:c>
      <x:c r="H3" s="11" t="str">
        <x:v>Fuente</x:v>
      </x:c>
      <x:c r="I3" s="11" t="str">
        <x:v>Estado</x:v>
      </x:c>
      <x:c r="J3" s="11" t="str">
        <x:v>Nota</x:v>
      </x:c>
    </x:row>
    <x:row r="4">
      <x:c r="A4" s="17" t="str">
        <x:v>FactVentaDetalle</x:v>
      </x:c>
      <x:c r="B4" s="17" t="str">
        <x:v>Hecho</x:v>
      </x:c>
      <x:c r="C4" s="17" t="str">
        <x:v>1 línea de producto por venta</x:v>
      </x:c>
      <x:c r="D4" s="17" t="str">
        <x:v>detalle_ventas.id</x:v>
      </x:c>
      <x:c r="E4" s="17" t="str">
        <x:v>fact_venta_key</x:v>
      </x:c>
      <x:c r="F4" s="17" t="str">
        <x:v>cantidad, precio_unitario, bruto_linea, descuento_asignado, neto_linea</x:v>
      </x:c>
      <x:c r="G4" s="17" t="str">
        <x:v>N/A</x:v>
      </x:c>
      <x:c r="H4" s="17" t="str">
        <x:v>ventas + detalle_ventas</x:v>
      </x:c>
      <x:c r="I4" s="17" t="str">
        <x:v>Propuesto</x:v>
      </x:c>
      <x:c r="J4" s="17" t="str">
        <x:v>Excluye ventas anuladas.</x:v>
      </x:c>
    </x:row>
    <x:row r="5">
      <x:c r="A5" s="17" t="str">
        <x:v>DimFecha</x:v>
      </x:c>
      <x:c r="B5" s="17" t="str">
        <x:v>Dimensión</x:v>
      </x:c>
      <x:c r="C5" s="17" t="str">
        <x:v>1 día</x:v>
      </x:c>
      <x:c r="D5" s="17" t="str">
        <x:v>fecha</x:v>
      </x:c>
      <x:c r="E5" s="17" t="str">
        <x:v>fecha_key YYYYMMDD</x:v>
      </x:c>
      <x:c r="F5" s="17" t="str">
        <x:v>día, mes, nombre_mes, trimestre, año, semana_iso, día_semana</x:v>
      </x:c>
      <x:c r="G5" s="17" t="str">
        <x:v>Estática</x:v>
      </x:c>
      <x:c r="H5" s="17" t="str">
        <x:v>fecha_creacion ventas</x:v>
      </x:c>
      <x:c r="I5" s="17" t="str">
        <x:v>Propuesto</x:v>
      </x:c>
      <x:c r="J5" s="17" t="str">
        <x:v>Calendario analítico.</x:v>
      </x:c>
    </x:row>
    <x:row r="6">
      <x:c r="A6" s="17" t="str">
        <x:v>DimNegocio</x:v>
      </x:c>
      <x:c r="B6" s="17" t="str">
        <x:v>Dimensión</x:v>
      </x:c>
      <x:c r="C6" s="17" t="str">
        <x:v>1 negocio</x:v>
      </x:c>
      <x:c r="D6" s="17" t="str">
        <x:v>negocios.id</x:v>
      </x:c>
      <x:c r="E6" s="17" t="str">
        <x:v>negocio_key</x:v>
      </x:c>
      <x:c r="F6" s="17" t="str">
        <x:v>nombre, rubro, estado</x:v>
      </x:c>
      <x:c r="G6" s="17" t="str">
        <x:v>Tipo 1</x:v>
      </x:c>
      <x:c r="H6" s="17" t="str">
        <x:v>negocios</x:v>
      </x:c>
      <x:c r="I6" s="17" t="str">
        <x:v>Propuesto</x:v>
      </x:c>
      <x:c r="J6" s="17" t="str">
        <x:v>Permite BI plataforma y filtro tenant.</x:v>
      </x:c>
    </x:row>
    <x:row r="7">
      <x:c r="A7" s="17" t="str">
        <x:v>DimProducto</x:v>
      </x:c>
      <x:c r="B7" s="17" t="str">
        <x:v>Dimensión</x:v>
      </x:c>
      <x:c r="C7" s="17" t="str">
        <x:v>1 producto</x:v>
      </x:c>
      <x:c r="D7" s="17" t="str">
        <x:v>productos.id</x:v>
      </x:c>
      <x:c r="E7" s="17" t="str">
        <x:v>producto_key</x:v>
      </x:c>
      <x:c r="F7" s="17" t="str">
        <x:v>nombre, categoría, marca, unidad, controla_stock, activo</x:v>
      </x:c>
      <x:c r="G7" s="17" t="str">
        <x:v>Tipo 1</x:v>
      </x:c>
      <x:c r="H7" s="17" t="str">
        <x:v>productos + categorias</x:v>
      </x:c>
      <x:c r="I7" s="17" t="str">
        <x:v>Propuesto</x:v>
      </x:c>
      <x:c r="J7" s="17" t="str">
        <x:v>Precio de venta histórico se toma del hecho.</x:v>
      </x:c>
    </x:row>
    <x:row r="8">
      <x:c r="A8" s="17" t="str">
        <x:v>DimCliente</x:v>
      </x:c>
      <x:c r="B8" s="17" t="str">
        <x:v>Dimensión</x:v>
      </x:c>
      <x:c r="C8" s="17" t="str">
        <x:v>1 cliente</x:v>
      </x:c>
      <x:c r="D8" s="17" t="str">
        <x:v>clientes.id</x:v>
      </x:c>
      <x:c r="E8" s="17" t="str">
        <x:v>cliente_key</x:v>
      </x:c>
      <x:c r="F8" s="17" t="str">
        <x:v>nombre, activo</x:v>
      </x:c>
      <x:c r="G8" s="17" t="str">
        <x:v>Tipo 1</x:v>
      </x:c>
      <x:c r="H8" s="17" t="str">
        <x:v>clientes</x:v>
      </x:c>
      <x:c r="I8" s="17" t="str">
        <x:v>Propuesto</x:v>
      </x:c>
      <x:c r="J8" s="17" t="str">
        <x:v>Minimizar PII en BI.</x:v>
      </x:c>
    </x:row>
    <x:row r="9">
      <x:c r="A9" s="17" t="str">
        <x:v>DimUsuario</x:v>
      </x:c>
      <x:c r="B9" s="17" t="str">
        <x:v>Dimensión</x:v>
      </x:c>
      <x:c r="C9" s="17" t="str">
        <x:v>1 usuario</x:v>
      </x:c>
      <x:c r="D9" s="17" t="str">
        <x:v>usuarios.id</x:v>
      </x:c>
      <x:c r="E9" s="17" t="str">
        <x:v>usuario_key</x:v>
      </x:c>
      <x:c r="F9" s="17" t="str">
        <x:v>nombre, rol, estado</x:v>
      </x:c>
      <x:c r="G9" s="17" t="str">
        <x:v>Tipo 1</x:v>
      </x:c>
      <x:c r="H9" s="17" t="str">
        <x:v>usuarios</x:v>
      </x:c>
      <x:c r="I9" s="17" t="str">
        <x:v>Propuesto</x:v>
      </x:c>
      <x:c r="J9" s="17" t="str">
        <x:v>Seller/owner.</x:v>
      </x:c>
    </x:row>
    <x:row r="10">
      <x:c r="A10" s="17" t="str">
        <x:v>DimMetodoPago</x:v>
      </x:c>
      <x:c r="B10" s="17" t="str">
        <x:v>Dimensión</x:v>
      </x:c>
      <x:c r="C10" s="17" t="str">
        <x:v>1 método</x:v>
      </x:c>
      <x:c r="D10" s="17" t="str">
        <x:v>ventas.metodo_pago</x:v>
      </x:c>
      <x:c r="E10" s="17" t="str">
        <x:v>metodo_pago_key</x:v>
      </x:c>
      <x:c r="F10" s="17" t="str">
        <x:v>metodo_pago</x:v>
      </x:c>
      <x:c r="G10" s="17" t="str">
        <x:v>Estática</x:v>
      </x:c>
      <x:c r="H10" s="17" t="str">
        <x:v>ventas</x:v>
      </x:c>
      <x:c r="I10" s="17" t="str">
        <x:v>Propuesto</x:v>
      </x:c>
      <x:c r="J10" s="17" t="str">
        <x:v>Mixed puede modelarse después a nivel pago.</x:v>
      </x:c>
    </x:row>
    <x:row r="11">
      <x:c r="A11" s="17" t="str">
        <x:v>DimVenta</x:v>
      </x:c>
      <x:c r="B11" s="17" t="str">
        <x:v>Dimensión degenerada/auxiliar</x:v>
      </x:c>
      <x:c r="C11" s="17" t="str">
        <x:v>1 venta</x:v>
      </x:c>
      <x:c r="D11" s="17" t="str">
        <x:v>ventas.id</x:v>
      </x:c>
      <x:c r="E11" s="17" t="str">
        <x:v>venta_key</x:v>
      </x:c>
      <x:c r="F11" s="17" t="str">
        <x:v>tipo_venta, estado_venta, estado_pago</x:v>
      </x:c>
      <x:c r="G11" s="17" t="str">
        <x:v>Tipo 1</x:v>
      </x:c>
      <x:c r="H11" s="17" t="str">
        <x:v>ventas</x:v>
      </x:c>
      <x:c r="I11" s="17" t="str">
        <x:v>Propuesto</x:v>
      </x:c>
      <x:c r="J11" s="17" t="str">
        <x:v>Mantiene contexto de cabecera.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6" hidden="0" customWidth="1"/>
    <x:col min="5" max="5" width="42" hidden="0" customWidth="1"/>
    <x:col min="6" max="6" width="38" hidden="0" customWidth="1"/>
    <x:col min="7" max="7" width="48" hidden="0" customWidth="1"/>
    <x:col min="8" max="8" width="12" hidden="0" customWidth="1"/>
    <x:col min="9" max="9" width="34" hidden="0" customWidth="1"/>
  </x:cols>
  <x:sheetData>
    <x:row r="1" ht="28" customHeight="1">
      <x:c r="A1" s="4" t="str">
        <x:v>DICCIONARIO DEL DATA MART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Tabla</x:v>
      </x:c>
      <x:c r="B3" s="11" t="str">
        <x:v>Campo</x:v>
      </x:c>
      <x:c r="C3" s="11" t="str">
        <x:v>Tipo lógico</x:v>
      </x:c>
      <x:c r="D3" s="11" t="str">
        <x:v>Clave</x:v>
      </x:c>
      <x:c r="E3" s="11" t="str">
        <x:v>Descripción</x:v>
      </x:c>
      <x:c r="F3" s="11" t="str">
        <x:v>Origen</x:v>
      </x:c>
      <x:c r="G3" s="11" t="str">
        <x:v>Transformación</x:v>
      </x:c>
      <x:c r="H3" s="11" t="str">
        <x:v>Nulos</x:v>
      </x:c>
      <x:c r="I3" s="11" t="str">
        <x:v>Calidad esperada</x:v>
      </x:c>
    </x:row>
    <x:row r="4">
      <x:c r="A4" s="17" t="str">
        <x:v>FactVentaDetalle</x:v>
      </x:c>
      <x:c r="B4" s="17" t="str">
        <x:v>fact_venta_key</x:v>
      </x:c>
      <x:c r="C4" s="17" t="str">
        <x:v>BIGINT</x:v>
      </x:c>
      <x:c r="D4" s="17" t="str">
        <x:v>PK</x:v>
      </x:c>
      <x:c r="E4" s="17" t="str">
        <x:v>Identificador analítico de la fila</x:v>
      </x:c>
      <x:c r="F4" s="17" t="str">
        <x:v>Generado BI</x:v>
      </x:c>
      <x:c r="G4" s="17" t="str">
        <x:v>Surrogate key</x:v>
      </x:c>
      <x:c r="H4" s="17" t="str">
        <x:v>No</x:v>
      </x:c>
      <x:c r="I4" s="17" t="str">
        <x:v>Único</x:v>
      </x:c>
    </x:row>
    <x:row r="5">
      <x:c r="A5" s="17" t="str">
        <x:v>FactVentaDetalle</x:v>
      </x:c>
      <x:c r="B5" s="17" t="str">
        <x:v>venta_id_origen</x:v>
      </x:c>
      <x:c r="C5" s="17" t="str">
        <x:v>UUID</x:v>
      </x:c>
      <x:c r="D5" s="17" t="str">
        <x:v>BK</x:v>
      </x:c>
      <x:c r="E5" s="17" t="str">
        <x:v>ID de venta OLTP</x:v>
      </x:c>
      <x:c r="F5" s="17" t="str">
        <x:v>ventas.id</x:v>
      </x:c>
      <x:c r="G5" s="17" t="str">
        <x:v>Directo</x:v>
      </x:c>
      <x:c r="H5" s="17" t="str">
        <x:v>No</x:v>
      </x:c>
      <x:c r="I5" s="17" t="str">
        <x:v>Existe en ventas</x:v>
      </x:c>
    </x:row>
    <x:row r="6">
      <x:c r="A6" s="17" t="str">
        <x:v>FactVentaDetalle</x:v>
      </x:c>
      <x:c r="B6" s="17" t="str">
        <x:v>detalle_id_origen</x:v>
      </x:c>
      <x:c r="C6" s="17" t="str">
        <x:v>UUID</x:v>
      </x:c>
      <x:c r="D6" s="17" t="str">
        <x:v>BK única</x:v>
      </x:c>
      <x:c r="E6" s="17" t="str">
        <x:v>ID línea OLTP</x:v>
      </x:c>
      <x:c r="F6" s="17" t="str">
        <x:v>detalle_ventas.id</x:v>
      </x:c>
      <x:c r="G6" s="17" t="str">
        <x:v>Directo</x:v>
      </x:c>
      <x:c r="H6" s="17" t="str">
        <x:v>No</x:v>
      </x:c>
      <x:c r="I6" s="17" t="str">
        <x:v>No duplicado</x:v>
      </x:c>
    </x:row>
    <x:row r="7">
      <x:c r="A7" s="17" t="str">
        <x:v>FactVentaDetalle</x:v>
      </x:c>
      <x:c r="B7" s="17" t="str">
        <x:v>fecha_key</x:v>
      </x:c>
      <x:c r="C7" s="17" t="str">
        <x:v>INTEGER</x:v>
      </x:c>
      <x:c r="D7" s="17" t="str">
        <x:v>FK</x:v>
      </x:c>
      <x:c r="E7" s="17" t="str">
        <x:v>Fecha analítica YYYYMMDD</x:v>
      </x:c>
      <x:c r="F7" s="17" t="str">
        <x:v>ventas.fecha_creacion</x:v>
      </x:c>
      <x:c r="G7" s="17" t="str">
        <x:v>TO_CHAR fecha</x:v>
      </x:c>
      <x:c r="H7" s="17" t="str">
        <x:v>No</x:v>
      </x:c>
      <x:c r="I7" s="17" t="str">
        <x:v>Existe en DimFecha</x:v>
      </x:c>
    </x:row>
    <x:row r="8">
      <x:c r="A8" s="17" t="str">
        <x:v>FactVentaDetalle</x:v>
      </x:c>
      <x:c r="B8" s="17" t="str">
        <x:v>producto_key</x:v>
      </x:c>
      <x:c r="C8" s="17" t="str">
        <x:v>BIGINT</x:v>
      </x:c>
      <x:c r="D8" s="17" t="str">
        <x:v>FK</x:v>
      </x:c>
      <x:c r="E8" s="17" t="str">
        <x:v>Producto analítico</x:v>
      </x:c>
      <x:c r="F8" s="17" t="str">
        <x:v>detalle_ventas.producto_id</x:v>
      </x:c>
      <x:c r="G8" s="17" t="str">
        <x:v>Lookup DimProducto</x:v>
      </x:c>
      <x:c r="H8" s="17" t="str">
        <x:v>No</x:v>
      </x:c>
      <x:c r="I8" s="17" t="str">
        <x:v>Resuelto</x:v>
      </x:c>
    </x:row>
    <x:row r="9">
      <x:c r="A9" s="17" t="str">
        <x:v>FactVentaDetalle</x:v>
      </x:c>
      <x:c r="B9" s="17" t="str">
        <x:v>cantidad</x:v>
      </x:c>
      <x:c r="C9" s="17" t="str">
        <x:v>NUMERIC</x:v>
      </x:c>
      <x:c r="D9" s="17" t="str">
        <x:v>Medida</x:v>
      </x:c>
      <x:c r="E9" s="17" t="str">
        <x:v>Unidades vendidas</x:v>
      </x:c>
      <x:c r="F9" s="17" t="str">
        <x:v>detalle_ventas.cantidad</x:v>
      </x:c>
      <x:c r="G9" s="17" t="str">
        <x:v>Directo</x:v>
      </x:c>
      <x:c r="H9" s="17" t="str">
        <x:v>No</x:v>
      </x:c>
      <x:c r="I9" s="17" t="str">
        <x:v>&gt;0</x:v>
      </x:c>
    </x:row>
    <x:row r="10">
      <x:c r="A10" s="17" t="str">
        <x:v>FactVentaDetalle</x:v>
      </x:c>
      <x:c r="B10" s="17" t="str">
        <x:v>precio_unitario</x:v>
      </x:c>
      <x:c r="C10" s="17" t="str">
        <x:v>INTEGER</x:v>
      </x:c>
      <x:c r="D10" s="17" t="str">
        <x:v>Medida</x:v>
      </x:c>
      <x:c r="E10" s="17" t="str">
        <x:v>Precio unitario registrado al vender</x:v>
      </x:c>
      <x:c r="F10" s="17" t="str">
        <x:v>detalle_ventas.precio_unitario</x:v>
      </x:c>
      <x:c r="G10" s="17" t="str">
        <x:v>Directo</x:v>
      </x:c>
      <x:c r="H10" s="17" t="str">
        <x:v>No</x:v>
      </x:c>
      <x:c r="I10" s="17" t="str">
        <x:v>&gt;=0</x:v>
      </x:c>
    </x:row>
    <x:row r="11">
      <x:c r="A11" s="17" t="str">
        <x:v>FactVentaDetalle</x:v>
      </x:c>
      <x:c r="B11" s="17" t="str">
        <x:v>bruto_linea</x:v>
      </x:c>
      <x:c r="C11" s="17" t="str">
        <x:v>INTEGER</x:v>
      </x:c>
      <x:c r="D11" s="17" t="str">
        <x:v>Medida</x:v>
      </x:c>
      <x:c r="E11" s="17" t="str">
        <x:v>Subtotal antes de descuento asignado</x:v>
      </x:c>
      <x:c r="F11" s="17" t="str">
        <x:v>detalle_ventas.subtotal</x:v>
      </x:c>
      <x:c r="G11" s="17" t="str">
        <x:v>Directo</x:v>
      </x:c>
      <x:c r="H11" s="17" t="str">
        <x:v>No</x:v>
      </x:c>
      <x:c r="I11" s="17" t="str">
        <x:v>&gt;=0</x:v>
      </x:c>
    </x:row>
    <x:row r="12">
      <x:c r="A12" s="17" t="str">
        <x:v>FactVentaDetalle</x:v>
      </x:c>
      <x:c r="B12" s="17" t="str">
        <x:v>descuento_asignado</x:v>
      </x:c>
      <x:c r="C12" s="17" t="str">
        <x:v>INTEGER</x:v>
      </x:c>
      <x:c r="D12" s="17" t="str">
        <x:v>Medida</x:v>
      </x:c>
      <x:c r="E12" s="17" t="str">
        <x:v>Parte proporcional del descuento de cabecera</x:v>
      </x:c>
      <x:c r="F12" s="17" t="str">
        <x:v>ventas.descuento</x:v>
      </x:c>
      <x:c r="G12" s="17" t="str">
        <x:v>Prorrateo por bruto_linea / subtotal_venta</x:v>
      </x:c>
      <x:c r="H12" s="17" t="str">
        <x:v>No</x:v>
      </x:c>
      <x:c r="I12" s="17" t="str">
        <x:v>&gt;=0</x:v>
      </x:c>
    </x:row>
    <x:row r="13">
      <x:c r="A13" s="17" t="str">
        <x:v>FactVentaDetalle</x:v>
      </x:c>
      <x:c r="B13" s="17" t="str">
        <x:v>neto_linea</x:v>
      </x:c>
      <x:c r="C13" s="17" t="str">
        <x:v>INTEGER</x:v>
      </x:c>
      <x:c r="D13" s="17" t="str">
        <x:v>Medida</x:v>
      </x:c>
      <x:c r="E13" s="17" t="str">
        <x:v>Bruto menos descuento asignado</x:v>
      </x:c>
      <x:c r="F13" s="17" t="str">
        <x:v>Derivado</x:v>
      </x:c>
      <x:c r="G13" s="17" t="str">
        <x:v>bruto_linea-descuento_asignado</x:v>
      </x:c>
      <x:c r="H13" s="17" t="str">
        <x:v>No</x:v>
      </x:c>
      <x:c r="I13" s="17" t="str">
        <x:v>&gt;=0 salvo casos a revisar</x:v>
      </x:c>
    </x:row>
    <x:row r="14">
      <x:c r="A14" s="17" t="str">
        <x:v>DimProducto</x:v>
      </x:c>
      <x:c r="B14" s="17" t="str">
        <x:v>categoria</x:v>
      </x:c>
      <x:c r="C14" s="17" t="str">
        <x:v>TEXT</x:v>
      </x:c>
      <x:c r="D14" s="17" t="str">
        <x:v>Atributo</x:v>
      </x:c>
      <x:c r="E14" s="17" t="str">
        <x:v>Categoría comercial</x:v>
      </x:c>
      <x:c r="F14" s="17" t="str">
        <x:v>categorias.nombre</x:v>
      </x:c>
      <x:c r="G14" s="17" t="str">
        <x:v>LEFT JOIN</x:v>
      </x:c>
      <x:c r="H14" s="17" t="str">
        <x:v>Sí</x:v>
      </x:c>
      <x:c r="I14" s="17" t="str">
        <x:v>Texto normalizado</x:v>
      </x:c>
    </x:row>
    <x:row r="15">
      <x:c r="A15" s="17" t="str">
        <x:v>DimUsuario</x:v>
      </x:c>
      <x:c r="B15" s="17" t="str">
        <x:v>rol</x:v>
      </x:c>
      <x:c r="C15" s="17" t="str">
        <x:v>TEXT</x:v>
      </x:c>
      <x:c r="D15" s="17" t="str">
        <x:v>Atributo</x:v>
      </x:c>
      <x:c r="E15" s="17" t="str">
        <x:v>Rol operacional</x:v>
      </x:c>
      <x:c r="F15" s="17" t="str">
        <x:v>usuarios.rol</x:v>
      </x:c>
      <x:c r="G15" s="17" t="str">
        <x:v>Directo</x:v>
      </x:c>
      <x:c r="H15" s="17" t="str">
        <x:v>No</x:v>
      </x:c>
      <x:c r="I15" s="17" t="str">
        <x:v>Valores esperados</x:v>
      </x:c>
    </x:row>
    <x:row r="16">
      <x:c r="A16" s="17" t="str">
        <x:v>DimMetodoPago</x:v>
      </x:c>
      <x:c r="B16" s="17" t="str">
        <x:v>metodo_pago</x:v>
      </x:c>
      <x:c r="C16" s="17" t="str">
        <x:v>TEXT</x:v>
      </x:c>
      <x:c r="D16" s="17" t="str">
        <x:v>Atributo</x:v>
      </x:c>
      <x:c r="E16" s="17" t="str">
        <x:v>Método principal de venta</x:v>
      </x:c>
      <x:c r="F16" s="17" t="str">
        <x:v>ventas.metodo_pago</x:v>
      </x:c>
      <x:c r="G16" s="17" t="str">
        <x:v>TRIM + unknown fallback</x:v>
      </x:c>
      <x:c r="H16" s="17" t="str">
        <x:v>No</x:v>
      </x:c>
      <x:c r="I16" s="17" t="str">
        <x:v>Catálogo controlado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6" hidden="0" customWidth="1"/>
    <x:col min="4" max="4" width="36" hidden="0" customWidth="1"/>
    <x:col min="5" max="5" width="34" hidden="0" customWidth="1"/>
    <x:col min="6" max="6" width="48" hidden="0" customWidth="1"/>
    <x:col min="7" max="7" width="28" hidden="0" customWidth="1"/>
    <x:col min="8" max="8" width="42" hidden="0" customWidth="1"/>
    <x:col min="9" max="9" width="14" hidden="0" customWidth="1"/>
    <x:col min="10" max="10" width="22" hidden="0" customWidth="1"/>
    <x:col min="11" max="11" width="32" hidden="0" customWidth="1"/>
  </x:cols>
  <x:sheetData>
    <x:row r="1" ht="28" customHeight="1">
      <x:c r="A1" s="4" t="str">
        <x:v>MAPEO ETL / ELT - ORIGEN A DATA MART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Orden</x:v>
      </x:c>
      <x:c r="B3" s="11" t="str">
        <x:v>Destino</x:v>
      </x:c>
      <x:c r="C3" s="11" t="str">
        <x:v>Campo/objeto</x:v>
      </x:c>
      <x:c r="D3" s="11" t="str">
        <x:v>Origen</x:v>
      </x:c>
      <x:c r="E3" s="11" t="str">
        <x:v>Extracción</x:v>
      </x:c>
      <x:c r="F3" s="11" t="str">
        <x:v>Transformación</x:v>
      </x:c>
      <x:c r="G3" s="11" t="str">
        <x:v>Carga</x:v>
      </x:c>
      <x:c r="H3" s="11" t="str">
        <x:v>Regla de error</x:v>
      </x:c>
      <x:c r="I3" s="11" t="str">
        <x:v>Incremental</x:v>
      </x:c>
      <x:c r="J3" s="11" t="str">
        <x:v>Estado</x:v>
      </x:c>
      <x:c r="K3" s="11" t="str">
        <x:v>Evidencia</x:v>
      </x:c>
    </x:row>
    <x:row r="4">
      <x:c r="A4" s="17" t="n">
        <x:v>1</x:v>
      </x:c>
      <x:c r="B4" s="17" t="str">
        <x:v>DimFecha</x:v>
      </x:c>
      <x:c r="C4" s="17" t="str">
        <x:v>Calendario</x:v>
      </x:c>
      <x:c r="D4" s="17" t="str">
        <x:v>ventas.fecha_creacion</x:v>
      </x:c>
      <x:c r="E4" s="17" t="str">
        <x:v>MIN/MAX fecha</x:v>
      </x:c>
      <x:c r="F4" s="17" t="str">
        <x:v>generate_series + atributos calendario</x:v>
      </x:c>
      <x:c r="G4" s="17" t="str">
        <x:v>INSERT ON CONFLICT DO NOTHING</x:v>
      </x:c>
      <x:c r="H4" s="17" t="str">
        <x:v>Fecha inválida → rechazar carga</x:v>
      </x:c>
      <x:c r="I4" s="17" t="str">
        <x:v>Sí</x:v>
      </x:c>
      <x:c r="J4" s="17" t="str">
        <x:v>Script preparado</x:v>
      </x:c>
      <x:c r="K4" s="17" t="str">
        <x:v>02_cargar_dimensiones.sql</x:v>
      </x:c>
    </x:row>
    <x:row r="5">
      <x:c r="A5" s="17" t="n">
        <x:v>2</x:v>
      </x:c>
      <x:c r="B5" s="17" t="str">
        <x:v>DimNegocio</x:v>
      </x:c>
      <x:c r="C5" s="17" t="str">
        <x:v>Negocio</x:v>
      </x:c>
      <x:c r="D5" s="17" t="str">
        <x:v>negocios</x:v>
      </x:c>
      <x:c r="E5" s="17" t="str">
        <x:v>Select directo</x:v>
      </x:c>
      <x:c r="F5" s="17" t="str">
        <x:v>Tipo 1</x:v>
      </x:c>
      <x:c r="G5" s="17" t="str">
        <x:v>UPSERT por negocio_id</x:v>
      </x:c>
      <x:c r="H5" s="17" t="str">
        <x:v>ID nulo no permitido</x:v>
      </x:c>
      <x:c r="I5" s="17" t="str">
        <x:v>Sí</x:v>
      </x:c>
      <x:c r="J5" s="17" t="str">
        <x:v>Script preparado</x:v>
      </x:c>
      <x:c r="K5" s="17" t="str">
        <x:v>02_cargar_dimensiones.sql</x:v>
      </x:c>
    </x:row>
    <x:row r="6">
      <x:c r="A6" s="17" t="n">
        <x:v>3</x:v>
      </x:c>
      <x:c r="B6" s="17" t="str">
        <x:v>DimProducto</x:v>
      </x:c>
      <x:c r="C6" s="17" t="str">
        <x:v>Producto/categoría</x:v>
      </x:c>
      <x:c r="D6" s="17" t="str">
        <x:v>productos + categorias</x:v>
      </x:c>
      <x:c r="E6" s="17" t="str">
        <x:v>LEFT JOIN</x:v>
      </x:c>
      <x:c r="F6" s="17" t="str">
        <x:v>Tipo 1; normalizar descripción</x:v>
      </x:c>
      <x:c r="G6" s="17" t="str">
        <x:v>UPSERT por producto_id</x:v>
      </x:c>
      <x:c r="H6" s="17" t="str">
        <x:v>Producto sin ID → rechazar</x:v>
      </x:c>
      <x:c r="I6" s="17" t="str">
        <x:v>Sí</x:v>
      </x:c>
      <x:c r="J6" s="17" t="str">
        <x:v>Script preparado</x:v>
      </x:c>
      <x:c r="K6" s="17" t="str">
        <x:v>02_cargar_dimensiones.sql</x:v>
      </x:c>
    </x:row>
    <x:row r="7">
      <x:c r="A7" s="17" t="n">
        <x:v>4</x:v>
      </x:c>
      <x:c r="B7" s="17" t="str">
        <x:v>DimCliente</x:v>
      </x:c>
      <x:c r="C7" s="17" t="str">
        <x:v>Cliente</x:v>
      </x:c>
      <x:c r="D7" s="17" t="str">
        <x:v>clientes</x:v>
      </x:c>
      <x:c r="E7" s="17" t="str">
        <x:v>Select directo</x:v>
      </x:c>
      <x:c r="F7" s="17" t="str">
        <x:v>Minimización de atributos</x:v>
      </x:c>
      <x:c r="G7" s="17" t="str">
        <x:v>UPSERT</x:v>
      </x:c>
      <x:c r="H7" s="17" t="str">
        <x:v>ID nulo → rechazar</x:v>
      </x:c>
      <x:c r="I7" s="17" t="str">
        <x:v>Sí</x:v>
      </x:c>
      <x:c r="J7" s="17" t="str">
        <x:v>Script preparado</x:v>
      </x:c>
      <x:c r="K7" s="17" t="str">
        <x:v>02_cargar_dimensiones.sql</x:v>
      </x:c>
    </x:row>
    <x:row r="8">
      <x:c r="A8" s="17" t="n">
        <x:v>5</x:v>
      </x:c>
      <x:c r="B8" s="17" t="str">
        <x:v>DimUsuario</x:v>
      </x:c>
      <x:c r="C8" s="17" t="str">
        <x:v>Usuario</x:v>
      </x:c>
      <x:c r="D8" s="17" t="str">
        <x:v>usuarios</x:v>
      </x:c>
      <x:c r="E8" s="17" t="str">
        <x:v>Select directo</x:v>
      </x:c>
      <x:c r="F8" s="17" t="str">
        <x:v>Tipo 1</x:v>
      </x:c>
      <x:c r="G8" s="17" t="str">
        <x:v>UPSERT</x:v>
      </x:c>
      <x:c r="H8" s="17" t="str">
        <x:v>ID nulo → rechazar</x:v>
      </x:c>
      <x:c r="I8" s="17" t="str">
        <x:v>Sí</x:v>
      </x:c>
      <x:c r="J8" s="17" t="str">
        <x:v>Script preparado</x:v>
      </x:c>
      <x:c r="K8" s="17" t="str">
        <x:v>02_cargar_dimensiones.sql</x:v>
      </x:c>
    </x:row>
    <x:row r="9">
      <x:c r="A9" s="17" t="n">
        <x:v>6</x:v>
      </x:c>
      <x:c r="B9" s="17" t="str">
        <x:v>DimMetodoPago</x:v>
      </x:c>
      <x:c r="C9" s="17" t="str">
        <x:v>Métodos</x:v>
      </x:c>
      <x:c r="D9" s="17" t="str">
        <x:v>ventas.metodo_pago</x:v>
      </x:c>
      <x:c r="E9" s="17" t="str">
        <x:v>DISTINCT</x:v>
      </x:c>
      <x:c r="F9" s="17" t="str">
        <x:v>TRIM; vacío→unknown</x:v>
      </x:c>
      <x:c r="G9" s="17" t="str">
        <x:v>INSERT</x:v>
      </x:c>
      <x:c r="H9" s="17" t="str">
        <x:v>Valor inesperado → revisar</x:v>
      </x:c>
      <x:c r="I9" s="17" t="str">
        <x:v>Sí</x:v>
      </x:c>
      <x:c r="J9" s="17" t="str">
        <x:v>Script preparado</x:v>
      </x:c>
      <x:c r="K9" s="17" t="str">
        <x:v>02_cargar_dimensiones.sql</x:v>
      </x:c>
    </x:row>
    <x:row r="10">
      <x:c r="A10" s="17" t="n">
        <x:v>7</x:v>
      </x:c>
      <x:c r="B10" s="17" t="str">
        <x:v>DimVenta</x:v>
      </x:c>
      <x:c r="C10" s="17" t="str">
        <x:v>Cabecera</x:v>
      </x:c>
      <x:c r="D10" s="17" t="str">
        <x:v>ventas</x:v>
      </x:c>
      <x:c r="E10" s="17" t="str">
        <x:v>Solo atributos analíticos</x:v>
      </x:c>
      <x:c r="F10" s="17" t="str">
        <x:v>Tipo 1</x:v>
      </x:c>
      <x:c r="G10" s="17" t="str">
        <x:v>UPSERT</x:v>
      </x:c>
      <x:c r="H10" s="17" t="str">
        <x:v>Venta sin estado → revisar</x:v>
      </x:c>
      <x:c r="I10" s="17" t="str">
        <x:v>Sí</x:v>
      </x:c>
      <x:c r="J10" s="17" t="str">
        <x:v>Script preparado</x:v>
      </x:c>
      <x:c r="K10" s="17" t="str">
        <x:v>02_cargar_dimensiones.sql</x:v>
      </x:c>
    </x:row>
    <x:row r="11">
      <x:c r="A11" s="17" t="n">
        <x:v>8</x:v>
      </x:c>
      <x:c r="B11" s="17" t="str">
        <x:v>FactVentaDetalle</x:v>
      </x:c>
      <x:c r="C11" s="17" t="str">
        <x:v>Líneas activas</x:v>
      </x:c>
      <x:c r="D11" s="17" t="str">
        <x:v>ventas + detalle_ventas</x:v>
      </x:c>
      <x:c r="E11" s="17" t="str">
        <x:v>JOIN ventas/detalle</x:v>
      </x:c>
      <x:c r="F11" s="17" t="str">
        <x:v>Resolver surrogate keys; prorratear descuento; excluir anuladas</x:v>
      </x:c>
      <x:c r="G11" s="17" t="str">
        <x:v>UPSERT por detalle_id</x:v>
      </x:c>
      <x:c r="H11" s="17" t="str">
        <x:v>FK no resuelta → no cargar / registrar</x:v>
      </x:c>
      <x:c r="I11" s="17" t="str">
        <x:v>Sí</x:v>
      </x:c>
      <x:c r="J11" s="17" t="str">
        <x:v>Script preparado</x:v>
      </x:c>
      <x:c r="K11" s="17" t="str">
        <x:v>03_cargar_fact_ventas.sql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38" hidden="0" customWidth="1"/>
    <x:col min="5" max="5" width="32" hidden="0" customWidth="1"/>
    <x:col min="6" max="6" width="14" hidden="0" customWidth="1"/>
    <x:col min="7" max="7" width="44" hidden="0" customWidth="1"/>
    <x:col min="8" max="8" width="18" hidden="0" customWidth="1"/>
    <x:col min="9" max="9" width="18" hidden="0" customWidth="1"/>
    <x:col min="10" max="10" width="28" hidden="0" customWidth="1"/>
    <x:col min="11" max="11" width="42" hidden="0" customWidth="1"/>
  </x:cols>
  <x:sheetData>
    <x:row r="1" ht="28" customHeight="1">
      <x:c r="A1" s="4" t="str">
        <x:v>REGLAS DE CALIDAD Y RECONCILIACIÓN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ID</x:v>
      </x:c>
      <x:c r="B3" s="11" t="str">
        <x:v>Regla</x:v>
      </x:c>
      <x:c r="C3" s="11" t="str">
        <x:v>Tipo</x:v>
      </x:c>
      <x:c r="D3" s="11" t="str">
        <x:v>Consulta/medida</x:v>
      </x:c>
      <x:c r="E3" s="11" t="str">
        <x:v>Esperado</x:v>
      </x:c>
      <x:c r="F3" s="11" t="str">
        <x:v>Severidad</x:v>
      </x:c>
      <x:c r="G3" s="11" t="str">
        <x:v>Acción si falla</x:v>
      </x:c>
      <x:c r="H3" s="11" t="str">
        <x:v>Frecuencia</x:v>
      </x:c>
      <x:c r="I3" s="11" t="str">
        <x:v>Estado</x:v>
      </x:c>
      <x:c r="J3" s="11" t="str">
        <x:v>Fuente</x:v>
      </x:c>
      <x:c r="K3" s="11" t="str">
        <x:v>Nota</x:v>
      </x:c>
    </x:row>
    <x:row r="4">
      <x:c r="A4" s="17" t="str">
        <x:v>DQ-01</x:v>
      </x:c>
      <x:c r="B4" s="17" t="str">
        <x:v>Detalle debe tener venta</x:v>
      </x:c>
      <x:c r="C4" s="17" t="str">
        <x:v>Integridad referencial</x:v>
      </x:c>
      <x:c r="D4" s="17" t="str">
        <x:v>Detalles huérfanos</x:v>
      </x:c>
      <x:c r="E4" s="17" t="str">
        <x:v>0</x:v>
      </x:c>
      <x:c r="F4" s="17" t="str">
        <x:v>Crítica</x:v>
      </x:c>
      <x:c r="G4" s="17" t="str">
        <x:v>Detener carga de fact y revisar origen</x:v>
      </x:c>
      <x:c r="H4" s="17" t="str">
        <x:v>Cada refresh</x:v>
      </x:c>
      <x:c r="I4" s="17" t="str">
        <x:v>Diseñado</x:v>
      </x:c>
      <x:c r="J4" s="17" t="str">
        <x:v>detalle_ventas→ventas</x:v>
      </x:c>
      <x:c r="K4" s="17" t="str">
        <x:v>SQL incluido</x:v>
      </x:c>
    </x:row>
    <x:row r="5">
      <x:c r="A5" s="17" t="str">
        <x:v>DQ-02</x:v>
      </x:c>
      <x:c r="B5" s="17" t="str">
        <x:v>Detalle debe tener producto</x:v>
      </x:c>
      <x:c r="C5" s="17" t="str">
        <x:v>Integridad referencial</x:v>
      </x:c>
      <x:c r="D5" s="17" t="str">
        <x:v>Productos huérfanos</x:v>
      </x:c>
      <x:c r="E5" s="17" t="str">
        <x:v>0</x:v>
      </x:c>
      <x:c r="F5" s="17" t="str">
        <x:v>Crítica</x:v>
      </x:c>
      <x:c r="G5" s="17" t="str">
        <x:v>Rechazar fila y registrar</x:v>
      </x:c>
      <x:c r="H5" s="17" t="str">
        <x:v>Cada refresh</x:v>
      </x:c>
      <x:c r="I5" s="17" t="str">
        <x:v>Diseñado</x:v>
      </x:c>
      <x:c r="J5" s="17" t="str">
        <x:v>detalle_ventas→productos</x:v>
      </x:c>
      <x:c r="K5" s="17" t="str">
        <x:v>SQL incluido</x:v>
      </x:c>
    </x:row>
    <x:row r="6">
      <x:c r="A6" s="17" t="str">
        <x:v>DQ-03</x:v>
      </x:c>
      <x:c r="B6" s="17" t="str">
        <x:v>No duplicar detalle en fact</x:v>
      </x:c>
      <x:c r="C6" s="17" t="str">
        <x:v>Unicidad</x:v>
      </x:c>
      <x:c r="D6" s="17" t="str">
        <x:v>COUNT por detalle_id_origen</x:v>
      </x:c>
      <x:c r="E6" s="17" t="str">
        <x:v>0 duplicados</x:v>
      </x:c>
      <x:c r="F6" s="17" t="str">
        <x:v>Crítica</x:v>
      </x:c>
      <x:c r="G6" s="17" t="str">
        <x:v>Rollback/corregir UPSERT</x:v>
      </x:c>
      <x:c r="H6" s="17" t="str">
        <x:v>Cada refresh</x:v>
      </x:c>
      <x:c r="I6" s="17" t="str">
        <x:v>Diseñado</x:v>
      </x:c>
      <x:c r="J6" s="17" t="str">
        <x:v>FactVentaDetalle</x:v>
      </x:c>
      <x:c r="K6" s="17" t="str">
        <x:v>Unique</x:v>
      </x:c>
    </x:row>
    <x:row r="7">
      <x:c r="A7" s="17" t="str">
        <x:v>DQ-04</x:v>
      </x:c>
      <x:c r="B7" s="17" t="str">
        <x:v>Ventas netas reconciliadas</x:v>
      </x:c>
      <x:c r="C7" s="17" t="str">
        <x:v>Reconciliación</x:v>
      </x:c>
      <x:c r="D7" s="17" t="str">
        <x:v>OLTP total activo vs SUM neto_linea</x:v>
      </x:c>
      <x:c r="E7" s="17" t="str">
        <x:v>Diferencia 0 o explicada por redondeo</x:v>
      </x:c>
      <x:c r="F7" s="17" t="str">
        <x:v>Crítica</x:v>
      </x:c>
      <x:c r="G7" s="17" t="str">
        <x:v>No publicar dashboard</x:v>
      </x:c>
      <x:c r="H7" s="17" t="str">
        <x:v>Cada refresh</x:v>
      </x:c>
      <x:c r="I7" s="17" t="str">
        <x:v>Diseñado</x:v>
      </x:c>
      <x:c r="J7" s="17" t="str">
        <x:v>ventas vs fact</x:v>
      </x:c>
      <x:c r="K7" s="17" t="str">
        <x:v>Debe definir tolerancia de redondeo</x:v>
      </x:c>
    </x:row>
    <x:row r="8">
      <x:c r="A8" s="17" t="str">
        <x:v>DQ-05</x:v>
      </x:c>
      <x:c r="B8" s="17" t="str">
        <x:v>Surrogate keys resueltas</x:v>
      </x:c>
      <x:c r="C8" s="17" t="str">
        <x:v>Completitud</x:v>
      </x:c>
      <x:c r="D8" s="17" t="str">
        <x:v>FK obligatorias nulas</x:v>
      </x:c>
      <x:c r="E8" s="17" t="str">
        <x:v>0</x:v>
      </x:c>
      <x:c r="F8" s="17" t="str">
        <x:v>Crítica</x:v>
      </x:c>
      <x:c r="G8" s="17" t="str">
        <x:v>Rechazar y corregir dimensión</x:v>
      </x:c>
      <x:c r="H8" s="17" t="str">
        <x:v>Cada refresh</x:v>
      </x:c>
      <x:c r="I8" s="17" t="str">
        <x:v>Diseñado</x:v>
      </x:c>
      <x:c r="J8" s="17" t="str">
        <x:v>fact</x:v>
      </x:c>
      <x:c r="K8" s="17" t="str">
        <x:v>SQL incluido</x:v>
      </x:c>
    </x:row>
    <x:row r="9">
      <x:c r="A9" s="17" t="str">
        <x:v>DQ-06</x:v>
      </x:c>
      <x:c r="B9" s="17" t="str">
        <x:v>Cantidad positiva</x:v>
      </x:c>
      <x:c r="C9" s="17" t="str">
        <x:v>Validez</x:v>
      </x:c>
      <x:c r="D9" s="17" t="str">
        <x:v>cantidad &lt;= 0</x:v>
      </x:c>
      <x:c r="E9" s="17" t="str">
        <x:v>0</x:v>
      </x:c>
      <x:c r="F9" s="17" t="str">
        <x:v>Alta</x:v>
      </x:c>
      <x:c r="G9" s="17" t="str">
        <x:v>Revisar dato OLTP</x:v>
      </x:c>
      <x:c r="H9" s="17" t="str">
        <x:v>Cada refresh</x:v>
      </x:c>
      <x:c r="I9" s="17" t="str">
        <x:v>Apoyado por API</x:v>
      </x:c>
      <x:c r="J9" s="17" t="str">
        <x:v>detalle_ventas</x:v>
      </x:c>
      <x:c r="K9" s="17" t="str">
        <x:v>API ya valida ventas nuevas</x:v>
      </x:c>
    </x:row>
    <x:row r="10">
      <x:c r="A10" s="17" t="str">
        <x:v>DQ-07</x:v>
      </x:c>
      <x:c r="B10" s="17" t="str">
        <x:v>Ventas anuladas fuera del KPI neto</x:v>
      </x:c>
      <x:c r="C10" s="17" t="str">
        <x:v>Regla negocio</x:v>
      </x:c>
      <x:c r="D10" s="17" t="str">
        <x:v>estado_venta != active en fact</x:v>
      </x:c>
      <x:c r="E10" s="17" t="str">
        <x:v>0</x:v>
      </x:c>
      <x:c r="F10" s="17" t="str">
        <x:v>Alta</x:v>
      </x:c>
      <x:c r="G10" s="17" t="str">
        <x:v>Corregir filtro ETL</x:v>
      </x:c>
      <x:c r="H10" s="17" t="str">
        <x:v>Cada refresh</x:v>
      </x:c>
      <x:c r="I10" s="17" t="str">
        <x:v>Diseñado</x:v>
      </x:c>
      <x:c r="J10" s="17" t="str">
        <x:v>ventas</x:v>
      </x:c>
      <x:c r="K10" s="17" t="str">
        <x:v>Anulaciones pueden analizarse aparte</x:v>
      </x:c>
    </x:row>
    <x:row r="11">
      <x:c r="A11" s="17" t="str">
        <x:v>DQ-08</x:v>
      </x:c>
      <x:c r="B11" s="17" t="str">
        <x:v>Margen no se publica sin costo histórico</x:v>
      </x:c>
      <x:c r="C11" s="17" t="str">
        <x:v>Semántica</x:v>
      </x:c>
      <x:c r="D11" s="17" t="str">
        <x:v>KPI margen habilitado</x:v>
      </x:c>
      <x:c r="E11" s="17" t="str">
        <x:v>No habilitado</x:v>
      </x:c>
      <x:c r="F11" s="17" t="str">
        <x:v>Alta</x:v>
      </x:c>
      <x:c r="G11" s="17" t="str">
        <x:v>Agregar costo snapshot al OLTP/fact</x:v>
      </x:c>
      <x:c r="H11" s="17" t="str">
        <x:v>Diseño</x:v>
      </x:c>
      <x:c r="I11" s="17" t="str">
        <x:v>Bloqueado</x:v>
      </x:c>
      <x:c r="J11" s="17" t="str">
        <x:v>detalle_ventas</x:v>
      </x:c>
      <x:c r="K11" s="17" t="str">
        <x:v>Evita indicador engañoso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36" hidden="0" customWidth="1"/>
    <x:col min="5" max="5" width="28" hidden="0" customWidth="1"/>
    <x:col min="6" max="6" width="20" hidden="0" customWidth="1"/>
    <x:col min="7" max="7" width="40" hidden="0" customWidth="1"/>
    <x:col min="8" max="8" width="20" hidden="0" customWidth="1"/>
    <x:col min="9" max="9" width="30" hidden="0" customWidth="1"/>
    <x:col min="10" max="10" width="38" hidden="0" customWidth="1"/>
  </x:cols>
  <x:sheetData>
    <x:row r="1" ht="28" customHeight="1">
      <x:c r="A1" s="4" t="str">
        <x:v>ESPECIFICACIÓN DEL DASHBOARD POWER BI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Página</x:v>
      </x:c>
      <x:c r="B3" s="11" t="str">
        <x:v>Visual</x:v>
      </x:c>
      <x:c r="C3" s="11" t="str">
        <x:v>Métrica</x:v>
      </x:c>
      <x:c r="D3" s="11" t="str">
        <x:v>Ejes / campos</x:v>
      </x:c>
      <x:c r="E3" s="11" t="str">
        <x:v>Filtros</x:v>
      </x:c>
      <x:c r="F3" s="11" t="str">
        <x:v>Interacción</x:v>
      </x:c>
      <x:c r="G3" s="11" t="str">
        <x:v>Pregunta que responde</x:v>
      </x:c>
      <x:c r="H3" s="11" t="str">
        <x:v>Estado</x:v>
      </x:c>
      <x:c r="I3" s="11" t="str">
        <x:v>Fuente</x:v>
      </x:c>
      <x:c r="J3" s="11" t="str">
        <x:v>Nota</x:v>
      </x:c>
    </x:row>
    <x:row r="4">
      <x:c r="A4" s="17" t="str">
        <x:v>Resumen ejecutivo</x:v>
      </x:c>
      <x:c r="B4" s="17" t="str">
        <x:v>Tarjeta</x:v>
      </x:c>
      <x:c r="C4" s="17" t="str">
        <x:v>Ventas netas</x:v>
      </x:c>
      <x:c r="D4" s="17" t="str">
        <x:v>Medida Ventas Netas</x:v>
      </x:c>
      <x:c r="E4" s="17" t="str">
        <x:v>Fecha, negocio</x:v>
      </x:c>
      <x:c r="F4" s="17" t="str">
        <x:v>Cross-filter</x:v>
      </x:c>
      <x:c r="G4" s="17" t="str">
        <x:v>¿Cuánto se vendió?</x:v>
      </x:c>
      <x:c r="H4" s="17" t="str">
        <x:v>Diseñado</x:v>
      </x:c>
      <x:c r="I4" s="17" t="str">
        <x:v>FactVentaDetalle</x:v>
      </x:c>
      <x:c r="J4" s="17" t="str">
        <x:v>Sin datos reales aún</x:v>
      </x:c>
    </x:row>
    <x:row r="5">
      <x:c r="A5" s="17" t="str">
        <x:v>Resumen ejecutivo</x:v>
      </x:c>
      <x:c r="B5" s="17" t="str">
        <x:v>Tarjeta</x:v>
      </x:c>
      <x:c r="C5" s="17" t="str">
        <x:v>Cantidad ventas</x:v>
      </x:c>
      <x:c r="D5" s="17" t="str">
        <x:v>COUNT DISTINCT venta</x:v>
      </x:c>
      <x:c r="E5" s="17" t="str">
        <x:v>Fecha, negocio</x:v>
      </x:c>
      <x:c r="F5" s="17" t="str">
        <x:v>Cross-filter</x:v>
      </x:c>
      <x:c r="G5" s="17" t="str">
        <x:v>¿Cuántas ventas?</x:v>
      </x:c>
      <x:c r="H5" s="17" t="str">
        <x:v>Diseñado</x:v>
      </x:c>
      <x:c r="I5" s="17" t="str">
        <x:v>FactVentaDetalle</x:v>
      </x:c>
      <x:c r="J5" s="17" t="str">
        <x:v>-</x:v>
      </x:c>
    </x:row>
    <x:row r="6">
      <x:c r="A6" s="17" t="str">
        <x:v>Resumen ejecutivo</x:v>
      </x:c>
      <x:c r="B6" s="17" t="str">
        <x:v>Tarjeta</x:v>
      </x:c>
      <x:c r="C6" s="17" t="str">
        <x:v>Ticket promedio</x:v>
      </x:c>
      <x:c r="D6" s="17" t="str">
        <x:v>Ventas / # ventas</x:v>
      </x:c>
      <x:c r="E6" s="17" t="str">
        <x:v>Fecha, negocio</x:v>
      </x:c>
      <x:c r="F6" s="17" t="str">
        <x:v>Cross-filter</x:v>
      </x:c>
      <x:c r="G6" s="17" t="str">
        <x:v>¿Ticket promedio?</x:v>
      </x:c>
      <x:c r="H6" s="17" t="str">
        <x:v>Diseñado</x:v>
      </x:c>
      <x:c r="I6" s="17" t="str">
        <x:v>FactVentaDetalle</x:v>
      </x:c>
      <x:c r="J6" s="17" t="str">
        <x:v>-</x:v>
      </x:c>
    </x:row>
    <x:row r="7">
      <x:c r="A7" s="17" t="str">
        <x:v>Resumen ejecutivo</x:v>
      </x:c>
      <x:c r="B7" s="17" t="str">
        <x:v>Tarjeta</x:v>
      </x:c>
      <x:c r="C7" s="17" t="str">
        <x:v>Unidades vendidas</x:v>
      </x:c>
      <x:c r="D7" s="17" t="str">
        <x:v>SUM cantidad</x:v>
      </x:c>
      <x:c r="E7" s="17" t="str">
        <x:v>Fecha, negocio</x:v>
      </x:c>
      <x:c r="F7" s="17" t="str">
        <x:v>Cross-filter</x:v>
      </x:c>
      <x:c r="G7" s="17" t="str">
        <x:v>¿Volumen?</x:v>
      </x:c>
      <x:c r="H7" s="17" t="str">
        <x:v>Diseñado</x:v>
      </x:c>
      <x:c r="I7" s="17" t="str">
        <x:v>FactVentaDetalle</x:v>
      </x:c>
      <x:c r="J7" s="17" t="str">
        <x:v>-</x:v>
      </x:c>
    </x:row>
    <x:row r="8">
      <x:c r="A8" s="17" t="str">
        <x:v>Resumen ejecutivo</x:v>
      </x:c>
      <x:c r="B8" s="17" t="str">
        <x:v>Línea</x:v>
      </x:c>
      <x:c r="C8" s="17" t="str">
        <x:v>Ventas por tiempo</x:v>
      </x:c>
      <x:c r="D8" s="17" t="str">
        <x:v>Ventas netas</x:v>
      </x:c>
      <x:c r="E8" s="17" t="str">
        <x:v>Fecha jerárquica</x:v>
      </x:c>
      <x:c r="F8" s="17" t="str">
        <x:v>Drill-down</x:v>
      </x:c>
      <x:c r="G8" s="17" t="str">
        <x:v>¿Tendencia/estacionalidad?</x:v>
      </x:c>
      <x:c r="H8" s="17" t="str">
        <x:v>Diseñado</x:v>
      </x:c>
      <x:c r="I8" s="17" t="str">
        <x:v>DimFecha + Fact</x:v>
      </x:c>
      <x:c r="J8" s="17" t="str">
        <x:v>Día→Mes→Año</x:v>
      </x:c>
    </x:row>
    <x:row r="9">
      <x:c r="A9" s="17" t="str">
        <x:v>Productos</x:v>
      </x:c>
      <x:c r="B9" s="17" t="str">
        <x:v>Barras</x:v>
      </x:c>
      <x:c r="C9" s="17" t="str">
        <x:v>Ventas netas y unidades</x:v>
      </x:c>
      <x:c r="D9" s="17" t="str">
        <x:v>Categoría/Producto</x:v>
      </x:c>
      <x:c r="E9" s="17" t="str">
        <x:v>Fecha, negocio</x:v>
      </x:c>
      <x:c r="F9" s="17" t="str">
        <x:v>Cross-filter</x:v>
      </x:c>
      <x:c r="G9" s="17" t="str">
        <x:v>¿Qué vende más?</x:v>
      </x:c>
      <x:c r="H9" s="17" t="str">
        <x:v>Diseñado</x:v>
      </x:c>
      <x:c r="I9" s="17" t="str">
        <x:v>DimProducto + Fact</x:v>
      </x:c>
      <x:c r="J9" s="17" t="str">
        <x:v>Top N configurable</x:v>
      </x:c>
    </x:row>
    <x:row r="10">
      <x:c r="A10" s="17" t="str">
        <x:v>Equipo</x:v>
      </x:c>
      <x:c r="B10" s="17" t="str">
        <x:v>Barras</x:v>
      </x:c>
      <x:c r="C10" s="17" t="str">
        <x:v>Ventas por usuario</x:v>
      </x:c>
      <x:c r="D10" s="17" t="str">
        <x:v>Usuario</x:v>
      </x:c>
      <x:c r="E10" s="17" t="str">
        <x:v>Fecha, negocio</x:v>
      </x:c>
      <x:c r="F10" s="17" t="str">
        <x:v>Cross-filter</x:v>
      </x:c>
      <x:c r="G10" s="17" t="str">
        <x:v>¿Quién registra más ventas?</x:v>
      </x:c>
      <x:c r="H10" s="17" t="str">
        <x:v>Diseñado</x:v>
      </x:c>
      <x:c r="I10" s="17" t="str">
        <x:v>DimUsuario + Fact</x:v>
      </x:c>
      <x:c r="J10" s="17" t="str">
        <x:v>No medir productividad completa</x:v>
      </x:c>
    </x:row>
    <x:row r="11">
      <x:c r="A11" s="17" t="str">
        <x:v>Pagos</x:v>
      </x:c>
      <x:c r="B11" s="17" t="str">
        <x:v>Donut/barra</x:v>
      </x:c>
      <x:c r="C11" s="17" t="str">
        <x:v>Ventas por método</x:v>
      </x:c>
      <x:c r="D11" s="17" t="str">
        <x:v>MetodoPago</x:v>
      </x:c>
      <x:c r="E11" s="17" t="str">
        <x:v>Fecha, negocio</x:v>
      </x:c>
      <x:c r="F11" s="17" t="str">
        <x:v>Cross-filter</x:v>
      </x:c>
      <x:c r="G11" s="17" t="str">
        <x:v>¿Cómo se paga?</x:v>
      </x:c>
      <x:c r="H11" s="17" t="str">
        <x:v>Diseñado</x:v>
      </x:c>
      <x:c r="I11" s="17" t="str">
        <x:v>DimMetodoPago + Fact</x:v>
      </x:c>
      <x:c r="J11" s="17" t="str">
        <x:v>Mixto no desglosado aún</x:v>
      </x:c>
    </x:row>
    <x:row r="12">
      <x:c r="A12" s="17" t="str">
        <x:v>Fiado</x:v>
      </x:c>
      <x:c r="B12" s="17" t="str">
        <x:v>Tarjeta/tabla</x:v>
      </x:c>
      <x:c r="C12" s="17" t="str">
        <x:v>Saldo pendiente/vencido</x:v>
      </x:c>
      <x:c r="D12" s="17" t="str">
        <x:v>Cliente/vencimiento</x:v>
      </x:c>
      <x:c r="E12" s="17" t="str">
        <x:v>Negocio</x:v>
      </x:c>
      <x:c r="F12" s="17" t="str">
        <x:v>Cross-filter</x:v>
      </x:c>
      <x:c r="G12" s="17" t="str">
        <x:v>¿Cuánto fiado está pendiente?</x:v>
      </x:c>
      <x:c r="H12" s="17" t="str">
        <x:v>Futuro separado</x:v>
      </x:c>
      <x:c r="I12" s="17" t="str">
        <x:v>cuentas_fiado</x:v>
      </x:c>
      <x:c r="J12" s="17" t="str">
        <x:v>Requiere mart/snapshot específico</x:v>
      </x:c>
    </x:row>
    <x:row r="13">
      <x:c r="A13" s="17" t="str">
        <x:v>Calidad</x:v>
      </x:c>
      <x:c r="B13" s="17" t="str">
        <x:v>KPI/tabla</x:v>
      </x:c>
      <x:c r="C13" s="17" t="str">
        <x:v>Diferencia reconciliación</x:v>
      </x:c>
      <x:c r="D13" s="17" t="str">
        <x:v>Reglas DQ</x:v>
      </x:c>
      <x:c r="E13" s="17" t="str">
        <x:v>Refresh</x:v>
      </x:c>
      <x:c r="F13" s="17" t="str">
        <x:v>N/A</x:v>
      </x:c>
      <x:c r="G13" s="17" t="str">
        <x:v>¿Los datos son confiables?</x:v>
      </x:c>
      <x:c r="H13" s="17" t="str">
        <x:v>Diseñado</x:v>
      </x:c>
      <x:c r="I13" s="17" t="str">
        <x:v>DQ SQL</x:v>
      </x:c>
      <x:c r="J13" s="17" t="str">
        <x:v>No ocultar fallas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32" hidden="0" customWidth="1"/>
    <x:col min="5" max="5" width="38" hidden="0" customWidth="1"/>
    <x:col min="6" max="6" width="44" hidden="0" customWidth="1"/>
    <x:col min="7" max="7" width="14" hidden="0" customWidth="1"/>
    <x:col min="8" max="8" width="18" hidden="0" customWidth="1"/>
    <x:col min="9" max="9" width="18" hidden="0" customWidth="1"/>
    <x:col min="10" max="10" width="34" hidden="0" customWidth="1"/>
    <x:col min="11" max="11" width="22" hidden="0" customWidth="1"/>
  </x:cols>
  <x:sheetData>
    <x:row r="1" ht="28" customHeight="1">
      <x:c r="A1" s="4" t="str">
        <x:v>PLAN DE PRUEBAS BI / ETL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ID</x:v>
      </x:c>
      <x:c r="B3" s="11" t="str">
        <x:v>Área</x:v>
      </x:c>
      <x:c r="C3" s="11" t="str">
        <x:v>Caso</x:v>
      </x:c>
      <x:c r="D3" s="11" t="str">
        <x:v>Precondición</x:v>
      </x:c>
      <x:c r="E3" s="11" t="str">
        <x:v>Ejecución</x:v>
      </x:c>
      <x:c r="F3" s="11" t="str">
        <x:v>Esperado</x:v>
      </x:c>
      <x:c r="G3" s="11" t="str">
        <x:v>Prioridad</x:v>
      </x:c>
      <x:c r="H3" s="11" t="str">
        <x:v>Automatizable</x:v>
      </x:c>
      <x:c r="I3" s="11" t="str">
        <x:v>Estado</x:v>
      </x:c>
      <x:c r="J3" s="11" t="str">
        <x:v>Evidencia requerida</x:v>
      </x:c>
      <x:c r="K3" s="11" t="str">
        <x:v>Relaciona</x:v>
      </x:c>
    </x:row>
    <x:row r="4">
      <x:c r="A4" s="17" t="str">
        <x:v>BI-T01</x:v>
      </x:c>
      <x:c r="B4" s="17" t="str">
        <x:v>Schema</x:v>
      </x:c>
      <x:c r="C4" s="17" t="str">
        <x:v>Crear Data Mart en BD separada</x:v>
      </x:c>
      <x:c r="D4" s="17" t="str">
        <x:v>PostgreSQL test</x:v>
      </x:c>
      <x:c r="E4" s="17" t="str">
        <x:v>Ejecutar 01_crear_datamart</x:v>
      </x:c>
      <x:c r="F4" s="17" t="str">
        <x:v>Tablas/índices sin error</x:v>
      </x:c>
      <x:c r="G4" s="17" t="str">
        <x:v>Crítica</x:v>
      </x:c>
      <x:c r="H4" s="17" t="str">
        <x:v>Sí</x:v>
      </x:c>
      <x:c r="I4" s="17" t="str">
        <x:v>Pendiente</x:v>
      </x:c>
      <x:c r="J4" s="17" t="str">
        <x:v>Log SQL + catálogo</x:v>
      </x:c>
      <x:c r="K4" s="17" t="str">
        <x:v>Modelo</x:v>
      </x:c>
    </x:row>
    <x:row r="5">
      <x:c r="A5" s="17" t="str">
        <x:v>BI-T02</x:v>
      </x:c>
      <x:c r="B5" s="17" t="str">
        <x:v>Dimensiones</x:v>
      </x:c>
      <x:c r="C5" s="17" t="str">
        <x:v>Carga inicial</x:v>
      </x:c>
      <x:c r="D5" s="17" t="str">
        <x:v>Datos sintéticos/backup test</x:v>
      </x:c>
      <x:c r="E5" s="17" t="str">
        <x:v>Ejecutar 02_cargar_dimensiones</x:v>
      </x:c>
      <x:c r="F5" s="17" t="str">
        <x:v>BK únicas y claves resueltas</x:v>
      </x:c>
      <x:c r="G5" s="17" t="str">
        <x:v>Crítica</x:v>
      </x:c>
      <x:c r="H5" s="17" t="str">
        <x:v>Sí</x:v>
      </x:c>
      <x:c r="I5" s="17" t="str">
        <x:v>Pendiente</x:v>
      </x:c>
      <x:c r="J5" s="17" t="str">
        <x:v>Conteos antes/después</x:v>
      </x:c>
      <x:c r="K5" s="17" t="str">
        <x:v>ETL</x:v>
      </x:c>
    </x:row>
    <x:row r="6">
      <x:c r="A6" s="17" t="str">
        <x:v>BI-T03</x:v>
      </x:c>
      <x:c r="B6" s="17" t="str">
        <x:v>Fact</x:v>
      </x:c>
      <x:c r="C6" s="17" t="str">
        <x:v>Carga ventas</x:v>
      </x:c>
      <x:c r="D6" s="17" t="str">
        <x:v>Dimensiones listas</x:v>
      </x:c>
      <x:c r="E6" s="17" t="str">
        <x:v>Ejecutar 03_cargar_fact_ventas</x:v>
      </x:c>
      <x:c r="F6" s="17" t="str">
        <x:v>Una fila por detalle activo</x:v>
      </x:c>
      <x:c r="G6" s="17" t="str">
        <x:v>Crítica</x:v>
      </x:c>
      <x:c r="H6" s="17" t="str">
        <x:v>Sí</x:v>
      </x:c>
      <x:c r="I6" s="17" t="str">
        <x:v>Pendiente</x:v>
      </x:c>
      <x:c r="J6" s="17" t="str">
        <x:v>Conteos/reconciliación</x:v>
      </x:c>
      <x:c r="K6" s="17" t="str">
        <x:v>ETL</x:v>
      </x:c>
    </x:row>
    <x:row r="7">
      <x:c r="A7" s="17" t="str">
        <x:v>BI-T04</x:v>
      </x:c>
      <x:c r="B7" s="17" t="str">
        <x:v>Reconciliación</x:v>
      </x:c>
      <x:c r="C7" s="17" t="str">
        <x:v>Total OLTP vs mart</x:v>
      </x:c>
      <x:c r="D7" s="17" t="str">
        <x:v>Carga completada</x:v>
      </x:c>
      <x:c r="E7" s="17" t="str">
        <x:v>Ejecutar DQ-04</x:v>
      </x:c>
      <x:c r="F7" s="17" t="str">
        <x:v>Diferencia 0 o explicada</x:v>
      </x:c>
      <x:c r="G7" s="17" t="str">
        <x:v>Crítica</x:v>
      </x:c>
      <x:c r="H7" s="17" t="str">
        <x:v>Sí</x:v>
      </x:c>
      <x:c r="I7" s="17" t="str">
        <x:v>Pendiente</x:v>
      </x:c>
      <x:c r="J7" s="17" t="str">
        <x:v>Resultado SQL</x:v>
      </x:c>
      <x:c r="K7" s="17" t="str">
        <x:v>DQ</x:v>
      </x:c>
    </x:row>
    <x:row r="8">
      <x:c r="A8" s="17" t="str">
        <x:v>BI-T05</x:v>
      </x:c>
      <x:c r="B8" s="17" t="str">
        <x:v>Incremental</x:v>
      </x:c>
      <x:c r="C8" s="17" t="str">
        <x:v>Reejecutar sin duplicar</x:v>
      </x:c>
      <x:c r="D8" s="17" t="str">
        <x:v>Carga inicial lista</x:v>
      </x:c>
      <x:c r="E8" s="17" t="str">
        <x:v>Ejecutar scripts otra vez</x:v>
      </x:c>
      <x:c r="F8" s="17" t="str">
        <x:v>0 duplicados; mismos totales</x:v>
      </x:c>
      <x:c r="G8" s="17" t="str">
        <x:v>Alta</x:v>
      </x:c>
      <x:c r="H8" s="17" t="str">
        <x:v>Sí</x:v>
      </x:c>
      <x:c r="I8" s="17" t="str">
        <x:v>Pendiente</x:v>
      </x:c>
      <x:c r="J8" s="17" t="str">
        <x:v>Conteos</x:v>
      </x:c>
      <x:c r="K8" s="17" t="str">
        <x:v>Idempotencia</x:v>
      </x:c>
    </x:row>
    <x:row r="9">
      <x:c r="A9" s="17" t="str">
        <x:v>BI-T06</x:v>
      </x:c>
      <x:c r="B9" s="17" t="str">
        <x:v>Anulación</x:v>
      </x:c>
      <x:c r="C9" s="17" t="str">
        <x:v>Excluir venta anulada</x:v>
      </x:c>
      <x:c r="D9" s="17" t="str">
        <x:v>Venta de prueba anulada</x:v>
      </x:c>
      <x:c r="E9" s="17" t="str">
        <x:v>Refrescar fact</x:v>
      </x:c>
      <x:c r="F9" s="17" t="str">
        <x:v>No aporta a ventas netas</x:v>
      </x:c>
      <x:c r="G9" s="17" t="str">
        <x:v>Alta</x:v>
      </x:c>
      <x:c r="H9" s="17" t="str">
        <x:v>Sí</x:v>
      </x:c>
      <x:c r="I9" s="17" t="str">
        <x:v>Pendiente</x:v>
      </x:c>
      <x:c r="J9" s="17" t="str">
        <x:v>Query</x:v>
      </x:c>
      <x:c r="K9" s="17" t="str">
        <x:v>Regla negocio</x:v>
      </x:c>
    </x:row>
    <x:row r="10">
      <x:c r="A10" s="17" t="str">
        <x:v>BI-T07</x:v>
      </x:c>
      <x:c r="B10" s="17" t="str">
        <x:v>Descuento</x:v>
      </x:c>
      <x:c r="C10" s="17" t="str">
        <x:v>Prorrateo por líneas</x:v>
      </x:c>
      <x:c r="D10" s="17" t="str">
        <x:v>Venta con varias líneas/descuento</x:v>
      </x:c>
      <x:c r="E10" s="17" t="str">
        <x:v>Refrescar</x:v>
      </x:c>
      <x:c r="F10" s="17" t="str">
        <x:v>SUM neto_linea = total venta</x:v>
      </x:c>
      <x:c r="G10" s="17" t="str">
        <x:v>Crítica</x:v>
      </x:c>
      <x:c r="H10" s="17" t="str">
        <x:v>Sí</x:v>
      </x:c>
      <x:c r="I10" s="17" t="str">
        <x:v>Pendiente</x:v>
      </x:c>
      <x:c r="J10" s="17" t="str">
        <x:v>Query por venta</x:v>
      </x:c>
      <x:c r="K10" s="17" t="str">
        <x:v>Fact</x:v>
      </x:c>
    </x:row>
    <x:row r="11">
      <x:c r="A11" s="17" t="str">
        <x:v>BI-T08</x:v>
      </x:c>
      <x:c r="B11" s="17" t="str">
        <x:v>Power BI</x:v>
      </x:c>
      <x:c r="C11" s="17" t="str">
        <x:v>Relaciones 1:*</x:v>
      </x:c>
      <x:c r="D11" s="17" t="str">
        <x:v>Data Mart cargado</x:v>
      </x:c>
      <x:c r="E11" s="17" t="str">
        <x:v>Conectar modelo</x:v>
      </x:c>
      <x:c r="F11" s="17" t="str">
        <x:v>Filtros dimensiones afectan fact</x:v>
      </x:c>
      <x:c r="G11" s="17" t="str">
        <x:v>Alta</x:v>
      </x:c>
      <x:c r="H11" s="17" t="str">
        <x:v>Parcial</x:v>
      </x:c>
      <x:c r="I11" s="17" t="str">
        <x:v>Pendiente</x:v>
      </x:c>
      <x:c r="J11" s="17" t="str">
        <x:v>Captura modelo</x:v>
      </x:c>
      <x:c r="K11" s="17" t="str">
        <x:v>Dashboard</x:v>
      </x:c>
    </x:row>
    <x:row r="12">
      <x:c r="A12" s="17" t="str">
        <x:v>BI-T09</x:v>
      </x:c>
      <x:c r="B12" s="17" t="str">
        <x:v>Power BI</x:v>
      </x:c>
      <x:c r="C12" s="17" t="str">
        <x:v>Cross-filter dashboard</x:v>
      </x:c>
      <x:c r="D12" s="17" t="str">
        <x:v>Visuales creados</x:v>
      </x:c>
      <x:c r="E12" s="17" t="str">
        <x:v>Aplicar filtro fecha/categoría</x:v>
      </x:c>
      <x:c r="F12" s="17" t="str">
        <x:v>Todos visuales relacionados cambian</x:v>
      </x:c>
      <x:c r="G12" s="17" t="str">
        <x:v>Alta</x:v>
      </x:c>
      <x:c r="H12" s="17" t="str">
        <x:v>Manual</x:v>
      </x:c>
      <x:c r="I12" s="17" t="str">
        <x:v>Pendiente</x:v>
      </x:c>
      <x:c r="J12" s="17" t="str">
        <x:v>Captura/video</x:v>
      </x:c>
      <x:c r="K12" s="17" t="str">
        <x:v>Examen</x:v>
      </x:c>
    </x:row>
    <x:row r="13">
      <x:c r="A13" s="17" t="str">
        <x:v>BI-T10</x:v>
      </x:c>
      <x:c r="B13" s="17" t="str">
        <x:v>Calidad</x:v>
      </x:c>
      <x:c r="C13" s="17" t="str">
        <x:v>Regla bloquea publicación</x:v>
      </x:c>
      <x:c r="D13" s="17" t="str">
        <x:v>Forzar dato inválido test</x:v>
      </x:c>
      <x:c r="E13" s="17" t="str">
        <x:v>Ejecutar DQ</x:v>
      </x:c>
      <x:c r="F13" s="17" t="str">
        <x:v>Falla visible; no se publica KPI engañoso</x:v>
      </x:c>
      <x:c r="G13" s="17" t="str">
        <x:v>Alta</x:v>
      </x:c>
      <x:c r="H13" s="17" t="str">
        <x:v>Sí</x:v>
      </x:c>
      <x:c r="I13" s="17" t="str">
        <x:v>Pendiente</x:v>
      </x:c>
      <x:c r="J13" s="17" t="str">
        <x:v>Log</x:v>
      </x:c>
      <x:c r="K13" s="17" t="str">
        <x:v>DQ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36" hidden="0" customWidth="1"/>
    <x:col min="5" max="5" width="22" hidden="0" customWidth="1"/>
    <x:col min="6" max="6" width="40" hidden="0" customWidth="1"/>
    <x:col min="7" max="7" width="32" hidden="0" customWidth="1"/>
    <x:col min="8" max="8" width="36" hidden="0" customWidth="1"/>
    <x:col min="9" max="9" width="34" hidden="0" customWidth="1"/>
    <x:col min="10" max="10" width="18" hidden="0" customWidth="1"/>
  </x:cols>
  <x:sheetData>
    <x:row r="1" ht="28" customHeight="1">
      <x:c r="A1" s="4" t="str">
        <x:v>TRAZABILIDAD BI → PRODUCT BACKLOG → TESIS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BI ID</x:v>
      </x:c>
      <x:c r="B3" s="11" t="str">
        <x:v>Necesidad</x:v>
      </x:c>
      <x:c r="C3" s="11" t="str">
        <x:v>Fuente Localito</x:v>
      </x:c>
      <x:c r="D3" s="11" t="str">
        <x:v>Artefacto BI</x:v>
      </x:c>
      <x:c r="E3" s="11" t="str">
        <x:v>Sprint / momento</x:v>
      </x:c>
      <x:c r="F3" s="11" t="str">
        <x:v>Criterio</x:v>
      </x:c>
      <x:c r="G3" s="11" t="str">
        <x:v>Evidencia actual</x:v>
      </x:c>
      <x:c r="H3" s="11" t="str">
        <x:v>Pendiente</x:v>
      </x:c>
      <x:c r="I3" s="11" t="str">
        <x:v>Riesgo</x:v>
      </x:c>
      <x:c r="J3" s="11" t="str">
        <x:v>Estado</x:v>
      </x:c>
    </x:row>
    <x:row r="4">
      <x:c r="A4" s="17" t="str">
        <x:v>BI-01/02/03</x:v>
      </x:c>
      <x:c r="B4" s="17" t="str">
        <x:v>Ventas y ticket</x:v>
      </x:c>
      <x:c r="C4" s="17" t="str">
        <x:v>ventas + detalle_ventas</x:v>
      </x:c>
      <x:c r="D4" s="17" t="str">
        <x:v>FactVentaDetalle + medidas</x:v>
      </x:c>
      <x:c r="E4" s="17" t="str">
        <x:v>S7/S8 o bloque académico</x:v>
      </x:c>
      <x:c r="F4" s="17" t="str">
        <x:v>Reconciliar con OLTP</x:v>
      </x:c>
      <x:c r="G4" s="17" t="str">
        <x:v>Esquema OLTP disponible</x:v>
      </x:c>
      <x:c r="H4" s="17" t="str">
        <x:v>Ejecutar mart</x:v>
      </x:c>
      <x:c r="I4" s="17" t="str">
        <x:v>Datos no reconciliados</x:v>
      </x:c>
      <x:c r="J4" s="17" t="str">
        <x:v>Diseñado</x:v>
      </x:c>
    </x:row>
    <x:row r="5">
      <x:c r="A5" s="17" t="str">
        <x:v>BI-04</x:v>
      </x:c>
      <x:c r="B5" s="17" t="str">
        <x:v>Producto/categoría</x:v>
      </x:c>
      <x:c r="C5" s="17" t="str">
        <x:v>productos + categorias + detalle</x:v>
      </x:c>
      <x:c r="D5" s="17" t="str">
        <x:v>DimProducto + fact</x:v>
      </x:c>
      <x:c r="E5" s="17" t="str">
        <x:v>S7/S8</x:v>
      </x:c>
      <x:c r="F5" s="17" t="str">
        <x:v>Filtros 1:* correctos</x:v>
      </x:c>
      <x:c r="G5" s="17" t="str">
        <x:v>Modelo fuente disponible</x:v>
      </x:c>
      <x:c r="H5" s="17" t="str">
        <x:v>Power BI</x:v>
      </x:c>
      <x:c r="I5" s="17" t="str">
        <x:v>Categorías históricas tipo 1</x:v>
      </x:c>
      <x:c r="J5" s="17" t="str">
        <x:v>Diseñado</x:v>
      </x:c>
    </x:row>
    <x:row r="6">
      <x:c r="A6" s="17" t="str">
        <x:v>BI-05</x:v>
      </x:c>
      <x:c r="B6" s="17" t="str">
        <x:v>Vendedor</x:v>
      </x:c>
      <x:c r="C6" s="17" t="str">
        <x:v>usuarios + ventas</x:v>
      </x:c>
      <x:c r="D6" s="17" t="str">
        <x:v>DimUsuario</x:v>
      </x:c>
      <x:c r="E6" s="17" t="str">
        <x:v>S7/S8</x:v>
      </x:c>
      <x:c r="F6" s="17" t="str">
        <x:v>Rol/nombre no cambia medidas</x:v>
      </x:c>
      <x:c r="G6" s="17" t="str">
        <x:v>Fuente disponible</x:v>
      </x:c>
      <x:c r="H6" s="17" t="str">
        <x:v>Power BI</x:v>
      </x:c>
      <x:c r="I6" s="17" t="str">
        <x:v>Interpretación incorrecta productividad</x:v>
      </x:c>
      <x:c r="J6" s="17" t="str">
        <x:v>Diseñado</x:v>
      </x:c>
    </x:row>
    <x:row r="7">
      <x:c r="A7" s="17" t="str">
        <x:v>BI-06</x:v>
      </x:c>
      <x:c r="B7" s="17" t="str">
        <x:v>Pago</x:v>
      </x:c>
      <x:c r="C7" s="17" t="str">
        <x:v>ventas.metodo_pago</x:v>
      </x:c>
      <x:c r="D7" s="17" t="str">
        <x:v>DimMetodoPago</x:v>
      </x:c>
      <x:c r="E7" s="17" t="str">
        <x:v>S7/S8</x:v>
      </x:c>
      <x:c r="F7" s="17" t="str">
        <x:v>Clasificación coherente</x:v>
      </x:c>
      <x:c r="G7" s="17" t="str">
        <x:v>Fuente disponible</x:v>
      </x:c>
      <x:c r="H7" s="17" t="str">
        <x:v>Desglosar mixed futuro</x:v>
      </x:c>
      <x:c r="I7" s="17" t="str">
        <x:v>Mixed simplificado</x:v>
      </x:c>
      <x:c r="J7" s="17" t="str">
        <x:v>Diseñado</x:v>
      </x:c>
    </x:row>
    <x:row r="8">
      <x:c r="A8" s="17" t="str">
        <x:v>BI-07</x:v>
      </x:c>
      <x:c r="B8" s="17" t="str">
        <x:v>Tiempo</x:v>
      </x:c>
      <x:c r="C8" s="17" t="str">
        <x:v>ventas.fecha_creacion</x:v>
      </x:c>
      <x:c r="D8" s="17" t="str">
        <x:v>DimFecha</x:v>
      </x:c>
      <x:c r="E8" s="17" t="str">
        <x:v>S7/S8</x:v>
      </x:c>
      <x:c r="F8" s="17" t="str">
        <x:v>Drill-down día/mes/año</x:v>
      </x:c>
      <x:c r="G8" s="17" t="str">
        <x:v>Fuente disponible</x:v>
      </x:c>
      <x:c r="H8" s="17" t="str">
        <x:v>Power BI</x:v>
      </x:c>
      <x:c r="I8" s="17" t="str">
        <x:v>Timezone/fecha</x:v>
      </x:c>
      <x:c r="J8" s="17" t="str">
        <x:v>Diseñado</x:v>
      </x:c>
    </x:row>
    <x:row r="9">
      <x:c r="A9" s="17" t="str">
        <x:v>BI-08</x:v>
      </x:c>
      <x:c r="B9" s="17" t="str">
        <x:v>Fiado</x:v>
      </x:c>
      <x:c r="C9" s="17" t="str">
        <x:v>cuentas_fiado</x:v>
      </x:c>
      <x:c r="D9" s="17" t="str">
        <x:v>Mart/snapshot futuro</x:v>
      </x:c>
      <x:c r="E9" s="17" t="str">
        <x:v>Roadmap/si tesis requiere</x:v>
      </x:c>
      <x:c r="F9" s="17" t="str">
        <x:v>Saldo actual reconciliado</x:v>
      </x:c>
      <x:c r="G9" s="17" t="str">
        <x:v>Fuente disponible</x:v>
      </x:c>
      <x:c r="H9" s="17" t="str">
        <x:v>Diseño separado</x:v>
      </x:c>
      <x:c r="I9" s="17" t="str">
        <x:v>Sin histórico snapshot</x:v>
      </x:c>
      <x:c r="J9" s="17" t="str">
        <x:v>Parcial</x:v>
      </x:c>
    </x:row>
    <x:row r="10">
      <x:c r="A10" s="17" t="str">
        <x:v>BI-09</x:v>
      </x:c>
      <x:c r="B10" s="17" t="str">
        <x:v>Inventario</x:v>
      </x:c>
      <x:c r="C10" s="17" t="str">
        <x:v>productos.stock_actual</x:v>
      </x:c>
      <x:c r="D10" s="17" t="str">
        <x:v>Dashboard operacional/snapshot</x:v>
      </x:c>
      <x:c r="E10" s="17" t="str">
        <x:v>Roadmap</x:v>
      </x:c>
      <x:c r="F10" s="17" t="str">
        <x:v>No vender tendencia inexistente</x:v>
      </x:c>
      <x:c r="G10" s="17" t="str">
        <x:v>Fuente actual</x:v>
      </x:c>
      <x:c r="H10" s="17" t="str">
        <x:v>Snapshot diario si se requiere</x:v>
      </x:c>
      <x:c r="I10" s="17" t="str">
        <x:v>Histórico ausente</x:v>
      </x:c>
      <x:c r="J10" s="17" t="str">
        <x:v>Parcial</x:v>
      </x:c>
    </x:row>
    <x:row r="11">
      <x:c r="A11" s="17" t="str">
        <x:v>BI-11</x:v>
      </x:c>
      <x:c r="B11" s="17" t="str">
        <x:v>Margen</x:v>
      </x:c>
      <x:c r="C11" s="17" t="str">
        <x:v>detalle_ventas + costo histórico inexistente</x:v>
      </x:c>
      <x:c r="D11" s="17" t="str">
        <x:v>KPI bloqueado</x:v>
      </x:c>
      <x:c r="E11" s="17" t="str">
        <x:v>Roadmap</x:v>
      </x:c>
      <x:c r="F11" s="17" t="str">
        <x:v>Solo habilitar con costo snapshot</x:v>
      </x:c>
      <x:c r="G11" s="17" t="str">
        <x:v>Precio venta histórico sí</x:v>
      </x:c>
      <x:c r="H11" s="17" t="str">
        <x:v>Guardar costo unitario al vender</x:v>
      </x:c>
      <x:c r="I11" s="17" t="str">
        <x:v>KPI engañoso</x:v>
      </x:c>
      <x:c r="J11" s="17" t="str">
        <x:v>Bloqueado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  <x:col min="4" max="4" width="22" hidden="0" customWidth="1"/>
    <x:col min="5" max="5" width="16" hidden="0" customWidth="1"/>
  </x:cols>
  <x:sheetData>
    <x:row r="1" ht="28" customHeight="1">
      <x:c r="A1" s="4" t="str">
        <x:v>ESTADO DOCUMENTAL DEL BLOQUE BI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Métrica</x:v>
      </x:c>
      <x:c r="B3" s="11" t="str">
        <x:v>Valor</x:v>
      </x:c>
      <x:c r="D3" s="11" t="str">
        <x:v>Estado KPI</x:v>
      </x:c>
      <x:c r="E3" s="11" t="str">
        <x:v>Cantidad</x:v>
      </x:c>
    </x:row>
    <x:row r="4">
      <x:c r="A4" t="str">
        <x:v>Preguntas/KPIs documentados</x:v>
      </x:c>
      <x:c r="B4" t="n">
        <x:f>COUNTA('01_Requerimientos_KPI'!A4:A14)</x:f>
        <x:v>11</x:v>
      </x:c>
      <x:c r="D4" t="str">
        <x:v>Diseñado</x:v>
      </x:c>
      <x:c r="E4" t="n">
        <x:f>B5</x:f>
        <x:v>7</x:v>
      </x:c>
    </x:row>
    <x:row r="5">
      <x:c r="A5" t="str">
        <x:v>KPIs diseñados</x:v>
      </x:c>
      <x:c r="B5" t="n">
        <x:f>COUNTIF('01_Requerimientos_KPI'!J4:J14,"Diseñado")</x:f>
        <x:v>7</x:v>
      </x:c>
      <x:c r="D5" t="str">
        <x:v>Parcial/Futuro</x:v>
      </x:c>
      <x:c r="E5" t="n">
        <x:f>B6</x:f>
        <x:v>3</x:v>
      </x:c>
    </x:row>
    <x:row r="6">
      <x:c r="A6" t="str">
        <x:v>KPIs parciales/futuros</x:v>
      </x:c>
      <x:c r="B6" t="n">
        <x:f>COUNTIF('01_Requerimientos_KPI'!J4:J14,"Dominio separado")+COUNTIF('01_Requerimientos_KPI'!J4:J14,"Operacional")+COUNTIF('01_Requerimientos_KPI'!J4:J14,"Diseñado futuro")</x:f>
        <x:v>3</x:v>
      </x:c>
      <x:c r="D6" t="str">
        <x:v>Bloqueado</x:v>
      </x:c>
      <x:c r="E6" t="n">
        <x:f>B7</x:f>
        <x:v>1</x:v>
      </x:c>
    </x:row>
    <x:row r="7">
      <x:c r="A7" t="str">
        <x:v>KPIs bloqueados</x:v>
      </x:c>
      <x:c r="B7" t="n">
        <x:f>COUNTIF('01_Requerimientos_KPI'!J4:J14,"Bloqueado")</x:f>
        <x:v>1</x:v>
      </x:c>
    </x:row>
    <x:row r="8">
      <x:c r="A8" t="str">
        <x:v>Tablas dimensionales propuestas</x:v>
      </x:c>
      <x:c r="B8" t="n">
        <x:f>COUNTA('02_Modelo_Dimensional'!A4:A11)</x:f>
        <x:v>8</x:v>
      </x:c>
    </x:row>
    <x:row r="9">
      <x:c r="A9" t="str">
        <x:v>Pruebas BI diseñadas</x:v>
      </x:c>
      <x:c r="B9" t="n">
        <x:f>COUNTA('07_Pruebas_BI'!A4:A13)</x:f>
        <x:v>10</x:v>
      </x:c>
    </x:row>
    <x:row r="10">
      <x:c r="A10" t="str">
        <x:v>Scripts SQL preparados</x:v>
      </x:c>
      <x:c r="B10" t="n">
        <x:v>5</x:v>
      </x:c>
    </x:row>
    <x:row r="11">
      <x:c r="A11" t="str">
        <x:v>Dashboard Power BI ejecutado</x:v>
      </x:c>
      <x:c r="B11" t="n">
        <x:v>0</x:v>
      </x:c>
    </x:row>
    <x:row r="12">
      <x:c r="A12" t="str">
        <x:v>Nota</x:v>
      </x:c>
      <x:c r="B12" t="str">
        <x:v>Diseño académico completo; ejecución requiere ambiente BI y datos reales/sintéticos autorizados.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306e074b7444394"/>
</x:worksheet>
</file>