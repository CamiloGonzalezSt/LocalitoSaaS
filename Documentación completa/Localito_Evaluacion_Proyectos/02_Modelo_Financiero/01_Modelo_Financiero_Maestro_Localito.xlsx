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dd859d85b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ada" sheetId="1" r:id="Rb63d484a3f4249cc"/>
    <x:sheet xmlns:r="http://schemas.openxmlformats.org/officeDocument/2006/relationships" name="Supuestos" sheetId="2" r:id="Rda1e87c759294154"/>
    <x:sheet xmlns:r="http://schemas.openxmlformats.org/officeDocument/2006/relationships" name="Costos_Inversion" sheetId="3" r:id="Rbe24c58029ab4998"/>
    <x:sheet xmlns:r="http://schemas.openxmlformats.org/officeDocument/2006/relationships" name="Proyeccion_Base" sheetId="4" r:id="R2bdf215a4d2948f7"/>
    <x:sheet xmlns:r="http://schemas.openxmlformats.org/officeDocument/2006/relationships" name="Flujo_Caja" sheetId="5" r:id="R82132daff64c4d84"/>
    <x:sheet xmlns:r="http://schemas.openxmlformats.org/officeDocument/2006/relationships" name="Escenarios" sheetId="6" r:id="Raa95c49b2c184477"/>
    <x:sheet xmlns:r="http://schemas.openxmlformats.org/officeDocument/2006/relationships" name="Sensibilidad" sheetId="7" r:id="Ra8f588a639f9477e"/>
    <x:sheet xmlns:r="http://schemas.openxmlformats.org/officeDocument/2006/relationships" name="Equilibrio_VAC_CAE" sheetId="8" r:id="Rd3dd8ec058d4418b"/>
    <x:sheet xmlns:r="http://schemas.openxmlformats.org/officeDocument/2006/relationships" name="Fuentes" sheetId="9" r:id="Rd19872d204ac41c0"/>
    <x:sheet xmlns:r="http://schemas.openxmlformats.org/officeDocument/2006/relationships" name="Calculo_TIR" sheetId="10" r:id="Ra886def1b51746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;[Red](#,##0);-"/>
    <x:numFmt numFmtId="201" formatCode="0.0%;[Red](0.0%);-"/>
    <x:numFmt numFmtId="202" formatCode="0"/>
    <x:numFmt numFmtId="203" formatCode="0.0"/>
    <x:numFmt numFmtId="204" formatCode="0.000"/>
    <x:numFmt numFmtId="205" formatCode="0.0x;[Red](0.0x);-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3D56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FFF00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200" fontId="3" fillId="5" borderId="0" xfId="0" applyNumberFormat="1" applyFont="1" applyFill="1" applyBorder="1" applyAlignment="1">
      <x:alignment wrapText="1"/>
    </x:xf>
    <x:xf numFmtId="200" fontId="3" fillId="5" borderId="1" xfId="0" applyNumberFormat="1" applyFont="1" applyFill="1" applyBorder="1" applyAlignment="1">
      <x:alignment wrapText="1"/>
    </x:xf>
    <x:xf numFmtId="201" fontId="3" fillId="5" borderId="0" xfId="0" applyNumberFormat="1" applyFont="1" applyFill="1" applyBorder="1" applyAlignment="1">
      <x:alignment wrapText="1"/>
    </x:xf>
    <x:xf numFmtId="201" fontId="3" fillId="5" borderId="1" xfId="0" applyNumberFormat="1" applyFont="1" applyFill="1" applyBorder="1" applyAlignment="1">
      <x:alignment wrapText="1"/>
    </x:xf>
    <x:xf numFmtId="202" fontId="3" fillId="5" borderId="0" xfId="0" applyNumberFormat="1" applyFont="1" applyFill="1" applyBorder="1" applyAlignment="1">
      <x:alignment wrapText="1"/>
    </x:xf>
    <x:xf numFmtId="202" fontId="3" fillId="5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4" fontId="4" fillId="0" borderId="0" xfId="0" applyNumberFormat="1" applyFont="1" applyFill="1" applyBorder="1"/>
    <x:xf numFmtId="204" fontId="4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0" fontId="4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3" fontId="4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3" fillId="6" borderId="0" xfId="0" applyNumberFormat="1" applyFont="1" applyFill="1" applyBorder="1" applyAlignment="1">
      <x:alignment wrapText="1"/>
    </x:xf>
    <x:xf numFmtId="201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40719ef8b74ac8" /><Relationship Type="http://schemas.openxmlformats.org/officeDocument/2006/relationships/theme" Target="/xl/theme/theme1.xml" Id="Rfdf2b6feb6b840ba" /><Relationship Type="http://schemas.openxmlformats.org/officeDocument/2006/relationships/sharedStrings" Target="/xl/sharedStrings.xml" Id="R544c79820b20449f" /><Relationship Type="http://schemas.openxmlformats.org/officeDocument/2006/relationships/worksheet" Target="/xl/worksheets/sheet1.xml" Id="Rb63d484a3f4249cc" /><Relationship Type="http://schemas.openxmlformats.org/officeDocument/2006/relationships/worksheet" Target="/xl/worksheets/sheet2.xml" Id="Rda1e87c759294154" /><Relationship Type="http://schemas.openxmlformats.org/officeDocument/2006/relationships/worksheet" Target="/xl/worksheets/sheet3.xml" Id="Rbe24c58029ab4998" /><Relationship Type="http://schemas.openxmlformats.org/officeDocument/2006/relationships/worksheet" Target="/xl/worksheets/sheet4.xml" Id="R2bdf215a4d2948f7" /><Relationship Type="http://schemas.openxmlformats.org/officeDocument/2006/relationships/worksheet" Target="/xl/worksheets/sheet5.xml" Id="R82132daff64c4d84" /><Relationship Type="http://schemas.openxmlformats.org/officeDocument/2006/relationships/worksheet" Target="/xl/worksheets/sheet6.xml" Id="Raa95c49b2c184477" /><Relationship Type="http://schemas.openxmlformats.org/officeDocument/2006/relationships/worksheet" Target="/xl/worksheets/sheet7.xml" Id="Ra8f588a639f9477e" /><Relationship Type="http://schemas.openxmlformats.org/officeDocument/2006/relationships/worksheet" Target="/xl/worksheets/sheet8.xml" Id="Rd3dd8ec058d4418b" /><Relationship Type="http://schemas.openxmlformats.org/officeDocument/2006/relationships/worksheet" Target="/xl/worksheets/sheet9.xml" Id="Rd19872d204ac41c0" /><Relationship Type="http://schemas.openxmlformats.org/officeDocument/2006/relationships/worksheet" Target="/xl/worksheets/sheet10.xml" Id="Ra886def1b51746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7891124020c4a3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78770391583485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eac7c0a8d35427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Crecimiento de clientes - escenario base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Clientes inicio</c:v>
          </c:tx>
          <c:marker>
            <c:symbol val="none"/>
          </c:marker>
          <c:cat>
            <c:strRef>
              <c:f>'Proyeccion_Base'!$A$4:$A$8</c:f>
              <c:strCache>
                <c:ptCount val="0"/>
              </c:strCache>
            </c:strRef>
          </c:cat>
          <c:val>
            <c:numRef>
              <c:f>'Proyeccion_Base'!$B$4:$B$8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Clientes fin</c:v>
          </c:tx>
          <c:marker>
            <c:symbol val="none"/>
          </c:marker>
          <c:cat>
            <c:strRef>
              <c:f>'Proyeccion_Base'!$A$4:$A$8</c:f>
              <c:strCache>
                <c:ptCount val="0"/>
              </c:strCache>
            </c:strRef>
          </c:cat>
          <c:val>
            <c:numRef>
              <c:f>'Proyeccion_Base'!$C$4:$C$8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Flujo de caja libre por año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Año 1</c:v>
          </c:tx>
          <c:cat>
            <c:strRef>
              <c:f>'Flujo_Caja'!$I$4</c:f>
              <c:strCache>
                <c:ptCount val="0"/>
              </c:strCache>
            </c:strRef>
          </c:cat>
          <c:val>
            <c:numRef>
              <c:f>'Flujo_Caja'!$J$4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Año 2</c:v>
          </c:tx>
          <c:cat>
            <c:strRef>
              <c:f>'Flujo_Caja'!$I$4</c:f>
              <c:strCache>
                <c:ptCount val="0"/>
              </c:strCache>
            </c:strRef>
          </c:cat>
          <c:val>
            <c:numRef>
              <c:f>'Flujo_Caja'!$K$4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Año 3</c:v>
          </c:tx>
          <c:cat>
            <c:strRef>
              <c:f>'Flujo_Caja'!$I$4</c:f>
              <c:strCache>
                <c:ptCount val="0"/>
              </c:strCache>
            </c:strRef>
          </c:cat>
          <c:val>
            <c:numRef>
              <c:f>'Flujo_Caja'!$L$4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Año 4</c:v>
          </c:tx>
          <c:cat>
            <c:strRef>
              <c:f>'Flujo_Caja'!$I$4</c:f>
              <c:strCache>
                <c:ptCount val="0"/>
              </c:strCache>
            </c:strRef>
          </c:cat>
          <c:val>
            <c:numRef>
              <c:f>'Flujo_Caja'!$M$4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Año 5</c:v>
          </c:tx>
          <c:cat>
            <c:strRef>
              <c:f>'Flujo_Caja'!$I$4</c:f>
              <c:strCache>
                <c:ptCount val="0"/>
              </c:strCache>
            </c:strRef>
          </c:cat>
          <c:val>
            <c:numRef>
              <c:f>'Flujo_Caja'!$N$4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Clientes pagados por escenario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Pesimista</c:v>
          </c:tx>
          <c:marker>
            <c:symbol val="none"/>
          </c:marker>
          <c:cat>
            <c:strRef>
              <c:f>'Escenarios'!$A$26:$A$30</c:f>
              <c:strCache>
                <c:ptCount val="0"/>
              </c:strCache>
            </c:strRef>
          </c:cat>
          <c:val>
            <c:numRef>
              <c:f>'Escenarios'!$B$26:$B$30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Base</c:v>
          </c:tx>
          <c:marker>
            <c:symbol val="none"/>
          </c:marker>
          <c:cat>
            <c:strRef>
              <c:f>'Escenarios'!$A$26:$A$30</c:f>
              <c:strCache>
                <c:ptCount val="0"/>
              </c:strCache>
            </c:strRef>
          </c:cat>
          <c:val>
            <c:numRef>
              <c:f>'Escenarios'!$C$26:$C$30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Optimista</c:v>
          </c:tx>
          <c:marker>
            <c:symbol val="none"/>
          </c:marker>
          <c:cat>
            <c:strRef>
              <c:f>'Escenarios'!$A$26:$A$30</c:f>
              <c:strCache>
                <c:ptCount val="0"/>
              </c:strCache>
            </c:strRef>
          </c:cat>
          <c:val>
            <c:numRef>
              <c:f>'Escenarios'!$D$26:$D$30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7891124020c4a3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5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8770391583485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9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ac7c0a8d35427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60266c8344742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da7cf52ca5cc40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1962ffded763448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4" hidden="0" customWidth="1"/>
  </x:cols>
  <x:sheetData>
    <x:row r="1" ht="28" customHeight="1">
      <x:c r="A1" s="4" t="str">
        <x:v>LOCALITO - MODELO FINANCIERO Y EVALUACIÓN DE PROYECTOS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Proyecto</x:v>
      </x:c>
      <x:c r="B3" s="17" t="str">
        <x:v>Localito</x:v>
      </x:c>
    </x:row>
    <x:row r="4">
      <x:c r="A4" s="16" t="str">
        <x:v>Horizonte</x:v>
      </x:c>
      <x:c r="B4" s="17" t="str">
        <x:v>5 años</x:v>
      </x:c>
    </x:row>
    <x:row r="5">
      <x:c r="A5" s="16" t="str">
        <x:v>Moneda</x:v>
      </x:c>
      <x:c r="B5" s="17" t="str">
        <x:v>CLP</x:v>
      </x:c>
    </x:row>
    <x:row r="6">
      <x:c r="A6" s="16" t="str">
        <x:v>Modelo</x:v>
      </x:c>
      <x:c r="B6" s="17" t="str">
        <x:v>SaaS por suscripción</x:v>
      </x:c>
    </x:row>
    <x:row r="7">
      <x:c r="A7" s="16" t="str">
        <x:v>Plan Básico</x:v>
      </x:c>
      <x:c r="B7" s="17" t="str">
        <x:v>$10.000 / mes</x:v>
      </x:c>
    </x:row>
    <x:row r="8">
      <x:c r="A8" s="16" t="str">
        <x:v>Plan Pro</x:v>
      </x:c>
      <x:c r="B8" s="17" t="str">
        <x:v>$20.000 / mes</x:v>
      </x:c>
    </x:row>
    <x:row r="9">
      <x:c r="A9" s="16" t="str">
        <x:v>Trial</x:v>
      </x:c>
      <x:c r="B9" s="17" t="str">
        <x:v>30 días Pro</x:v>
      </x:c>
    </x:row>
    <x:row r="10">
      <x:c r="A10" s="16" t="str">
        <x:v>Uso del modelo</x:v>
      </x:c>
      <x:c r="B10" s="17" t="str">
        <x:v>Evaluación académica y escenarios</x:v>
      </x:c>
    </x:row>
    <x:row r="11">
      <x:c r="A11" s="16" t="str">
        <x:v>Advertencia</x:v>
      </x:c>
      <x:c r="B11" s="17" t="str">
        <x:v>Los supuestos comerciales y de costos no reemplazan validación con mercado real.</x:v>
      </x:c>
    </x:row>
    <x:row r="12">
      <x:c r="A12" s="74" t="str">
        <x:v>Estructura de costos</x:v>
      </x:c>
      <x:c r="B12" s="17" t="str">
        <x:v>Lean / bootstrapped, con costos variables por cliente</x:v>
      </x:c>
    </x:row>
    <x:row r="13">
      <x:c r="A13" s="22" t="str">
        <x:v>Este modelo separa datos confirmados del producto, antecedentes del ramo y supuestos académicos editables. VAN, TIR, ROI, Payback y sensibilidad deben interpretarse como resultados del escenario modelado, no como evidencia de rentabilidad comercial validada.</x:v>
      </x:c>
      <x:c r="B13" s="22"/>
      <x:c r="C13" s="22"/>
      <x:c r="D13" s="22"/>
      <x:c r="E13" s="22"/>
      <x:c r="F13" s="22"/>
      <x:c r="G13" s="22"/>
      <x:c r="H13" s="22"/>
    </x:row>
    <x:row r="14">
      <x:c r="A14" s="22"/>
      <x:c r="B14" s="22"/>
      <x:c r="C14" s="22"/>
      <x:c r="D14" s="22"/>
      <x:c r="E14" s="22"/>
      <x:c r="F14" s="22"/>
      <x:c r="G14" s="22"/>
      <x:c r="H14" s="22"/>
    </x:row>
    <x:row r="15">
      <x:c r="A15" s="22"/>
      <x:c r="B15" s="22"/>
      <x:c r="C15" s="22"/>
      <x:c r="D15" s="22"/>
      <x:c r="E15" s="22"/>
      <x:c r="F15" s="22"/>
      <x:c r="G15" s="22"/>
      <x:c r="H15" s="22"/>
    </x:row>
    <x:row r="16">
      <x:c r="A16" s="22"/>
      <x:c r="B16" s="22"/>
      <x:c r="C16" s="22"/>
      <x:c r="D16" s="22"/>
      <x:c r="E16" s="22"/>
      <x:c r="F16" s="22"/>
      <x:c r="G16" s="22"/>
      <x:c r="H16" s="22"/>
    </x:row>
  </x:sheetData>
  <x:mergeCells>
    <x:mergeCell ref="A1:H1"/>
    <x:mergeCell ref="A13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22" hidden="0" customWidth="1"/>
    <x:col min="5" max="5" width="48" hidden="0" customWidth="1"/>
    <x:col min="6" max="6" width="20" hidden="0" customWidth="1"/>
    <x:col min="8" max="8" width="30" hidden="0" customWidth="1"/>
    <x:col min="9" max="9" width="58" hidden="0" customWidth="1"/>
  </x:cols>
  <x:sheetData>
    <x:row r="1" ht="28" customHeight="1">
      <x:c r="A1" s="4" t="str">
        <x:v>SUPUESTOS DEL MODELO</x:v>
      </x:c>
      <x:c r="B1" s="4"/>
      <x:c r="C1" s="4"/>
      <x:c r="D1" s="4"/>
      <x:c r="E1" s="4"/>
      <x:c r="F1" s="4"/>
    </x:row>
    <x:row r="3">
      <x:c r="A3" s="11" t="str">
        <x:v>Variable</x:v>
      </x:c>
      <x:c r="B3" s="11" t="str">
        <x:v>Valor</x:v>
      </x:c>
      <x:c r="C3" s="11" t="str">
        <x:v>Unidad</x:v>
      </x:c>
      <x:c r="D3" s="11" t="str">
        <x:v>Tipo de dato</x:v>
      </x:c>
      <x:c r="E3" s="11" t="str">
        <x:v>Fuente / criterio</x:v>
      </x:c>
      <x:c r="F3" s="11" t="str">
        <x:v>Calidad del dato</x:v>
      </x:c>
      <x:c r="H3" s="11" t="str">
        <x:v>Indicador derivado</x:v>
      </x:c>
      <x:c r="I3" s="16" t="str">
        <x:v>Fórmula / valor</x:v>
      </x:c>
    </x:row>
    <x:row r="4">
      <x:c r="A4" s="17" t="str">
        <x:v>Precio Plan Básico</x:v>
      </x:c>
      <x:c r="B4" s="30" t="n">
        <x:v>10000</x:v>
      </x:c>
      <x:c r="C4" s="17" t="str">
        <x:v>CLP/mes</x:v>
      </x:c>
      <x:c r="D4" s="17" t="str">
        <x:v>Dato del proyecto</x:v>
      </x:c>
      <x:c r="E4" s="17" t="str">
        <x:v>Definición actual del modelo de negocio Localito</x:v>
      </x:c>
      <x:c r="F4" s="17" t="str">
        <x:v>Confirmado por equipo</x:v>
      </x:c>
      <x:c r="H4" t="str">
        <x:v>ARPU mensual</x:v>
      </x:c>
      <x:c r="I4" s="64" t="n">
        <x:f>B4*B6+B5*B7</x:f>
        <x:v>13500</x:v>
      </x:c>
    </x:row>
    <x:row r="5">
      <x:c r="A5" s="17" t="str">
        <x:v>Precio Plan Pro</x:v>
      </x:c>
      <x:c r="B5" s="30" t="n">
        <x:v>20000</x:v>
      </x:c>
      <x:c r="C5" s="17" t="str">
        <x:v>CLP/mes</x:v>
      </x:c>
      <x:c r="D5" s="17" t="str">
        <x:v>Dato del proyecto</x:v>
      </x:c>
      <x:c r="E5" s="17" t="str">
        <x:v>Definición actual del modelo de negocio Localito</x:v>
      </x:c>
      <x:c r="F5" s="17" t="str">
        <x:v>Confirmado por equipo</x:v>
      </x:c>
      <x:c r="H5" t="str">
        <x:v>Margen contribución / cliente</x:v>
      </x:c>
      <x:c r="I5" s="64" t="n">
        <x:f>I4-B8</x:f>
        <x:v>11500</x:v>
      </x:c>
    </x:row>
    <x:row r="6">
      <x:c r="A6" s="17" t="str">
        <x:v>Mix Básico</x:v>
      </x:c>
      <x:c r="B6" s="32" t="n">
        <x:v>0.65</x:v>
      </x:c>
      <x:c r="C6" s="17" t="str">
        <x:v>% clientes</x:v>
      </x:c>
      <x:c r="D6" s="17" t="str">
        <x:v>Supuesto académico</x:v>
      </x:c>
      <x:c r="E6" s="17" t="str">
        <x:v>Escenario base editable</x:v>
      </x:c>
      <x:c r="F6" s="17" t="str">
        <x:v>No validado</x:v>
      </x:c>
      <x:c r="H6" t="str">
        <x:v>Costo fijo mensual año 1</x:v>
      </x:c>
      <x:c r="I6" s="64" t="n">
        <x:f>B9/12</x:f>
        <x:v>250000</x:v>
      </x:c>
    </x:row>
    <x:row r="7">
      <x:c r="A7" s="17" t="str">
        <x:v>Mix Pro</x:v>
      </x:c>
      <x:c r="B7" s="32" t="n">
        <x:v>0.35</x:v>
      </x:c>
      <x:c r="C7" s="17" t="str">
        <x:v>% clientes</x:v>
      </x:c>
      <x:c r="D7" s="17" t="str">
        <x:v>Supuesto académico</x:v>
      </x:c>
      <x:c r="E7" s="17" t="str">
        <x:v>Escenario base editable</x:v>
      </x:c>
      <x:c r="F7" s="17" t="str">
        <x:v>No validado</x:v>
      </x:c>
      <x:c r="H7" t="str">
        <x:v>Clientes de equilibrio</x:v>
      </x:c>
      <x:c r="I7" s="65" t="n">
        <x:f>I6/I5</x:f>
        <x:v>21.73913043478261</x:v>
      </x:c>
    </x:row>
    <x:row r="8">
      <x:c r="A8" s="17" t="str">
        <x:v>Costo variable por cliente</x:v>
      </x:c>
      <x:c r="B8" s="30" t="n">
        <x:v>2000</x:v>
      </x:c>
      <x:c r="C8" s="17" t="str">
        <x:v>CLP/mes</x:v>
      </x:c>
      <x:c r="D8" s="17" t="str">
        <x:v>Supuesto académico</x:v>
      </x:c>
      <x:c r="E8" s="17" t="str">
        <x:v>Infraestructura + IA + correo asignados por cliente</x:v>
      </x:c>
      <x:c r="F8" s="17" t="str">
        <x:v>No validado</x:v>
      </x:c>
      <x:c r="H8" t="str">
        <x:v>Nota</x:v>
      </x:c>
      <x:c r="I8" s="17" t="str">
        <x:v>Se calcula sobre clientes pagados; el trial se modela fuera de ingresos.</x:v>
      </x:c>
    </x:row>
    <x:row r="9">
      <x:c r="A9" s="17" t="str">
        <x:v>Costo fijo año 1</x:v>
      </x:c>
      <x:c r="B9" s="69" t="n">
        <x:v>3000000</x:v>
      </x:c>
      <x:c r="C9" s="17" t="str">
        <x:v>CLP/año</x:v>
      </x:c>
      <x:c r="D9" s="17" t="str">
        <x:v>Supuesto académico</x:v>
      </x:c>
      <x:c r="E9" s="17" t="str">
        <x:v>Operación lean del SaaS durante el primer año</x:v>
      </x:c>
      <x:c r="F9" s="17" t="str">
        <x:v>No validado</x:v>
      </x:c>
    </x:row>
    <x:row r="10">
      <x:c r="A10" s="17" t="str">
        <x:v>Crecimiento costo fijo</x:v>
      </x:c>
      <x:c r="B10" s="70" t="n">
        <x:v>0.08</x:v>
      </x:c>
      <x:c r="C10" s="17" t="str">
        <x:v>% anual</x:v>
      </x:c>
      <x:c r="D10" s="17" t="str">
        <x:v>Supuesto académico</x:v>
      </x:c>
      <x:c r="E10" s="17" t="str">
        <x:v>Escalamiento gradual de soporte y operación</x:v>
      </x:c>
      <x:c r="F10" s="17" t="str">
        <x:v>No validado</x:v>
      </x:c>
    </x:row>
    <x:row r="11">
      <x:c r="A11" s="17" t="str">
        <x:v>Inversión inicial económica</x:v>
      </x:c>
      <x:c r="B11" s="69" t="n">
        <x:v>3000000</x:v>
      </x:c>
      <x:c r="C11" s="17" t="str">
        <x:v>CLP</x:v>
      </x:c>
      <x:c r="D11" s="17" t="str">
        <x:v>Supuesto académico</x:v>
      </x:c>
      <x:c r="E11" s="17" t="str">
        <x:v>Lanzamiento bootstrapped: oportunidad de desarrollo + puesta en marcha</x:v>
      </x:c>
      <x:c r="F11" s="17" t="str">
        <x:v>No validado</x:v>
      </x:c>
    </x:row>
    <x:row r="12">
      <x:c r="A12" s="17" t="str">
        <x:v>CAPEX desde año 2</x:v>
      </x:c>
      <x:c r="B12" s="69" t="n">
        <x:v>300000</x:v>
      </x:c>
      <x:c r="C12" s="17" t="str">
        <x:v>CLP/año</x:v>
      </x:c>
      <x:c r="D12" s="17" t="str">
        <x:v>Supuesto académico</x:v>
      </x:c>
      <x:c r="E12" s="17" t="str">
        <x:v>Reinversión anual acotada desde el segundo año</x:v>
      </x:c>
      <x:c r="F12" s="17" t="str">
        <x:v>No validado</x:v>
      </x:c>
    </x:row>
    <x:row r="13">
      <x:c r="A13" s="17" t="str">
        <x:v>Tasa de descuento</x:v>
      </x:c>
      <x:c r="B13" s="32" t="n">
        <x:v>0.12</x:v>
      </x:c>
      <x:c r="C13" s="17" t="str">
        <x:v>% anual</x:v>
      </x:c>
      <x:c r="D13" s="17" t="str">
        <x:v>Referencia académica</x:v>
      </x:c>
      <x:c r="E13" s="17" t="str">
        <x:v>El trabajo previo del ramo utilizó 12%</x:v>
      </x:c>
      <x:c r="F13" s="17" t="str">
        <x:v>Referencial</x:v>
      </x:c>
    </x:row>
    <x:row r="14">
      <x:c r="A14" s="17" t="str">
        <x:v>Horizonte de evaluación</x:v>
      </x:c>
      <x:c r="B14" s="34" t="n">
        <x:v>5</x:v>
      </x:c>
      <x:c r="C14" s="17" t="str">
        <x:v>años</x:v>
      </x:c>
      <x:c r="D14" s="17" t="str">
        <x:v>Supuesto metodológico</x:v>
      </x:c>
      <x:c r="E14" s="17" t="str">
        <x:v>Horizonte académico del modelo</x:v>
      </x:c>
      <x:c r="F14" s="17" t="str">
        <x:v>Definido</x:v>
      </x:c>
    </x:row>
    <x:row r="15">
      <x:c r="A15" s="17" t="str">
        <x:v>Valor residual</x:v>
      </x:c>
      <x:c r="B15" s="30" t="n">
        <x:v>0</x:v>
      </x:c>
      <x:c r="C15" s="17" t="str">
        <x:v>CLP</x:v>
      </x:c>
      <x:c r="D15" s="17" t="str">
        <x:v>Supuesto conservador</x:v>
      </x:c>
      <x:c r="E15" s="17" t="str">
        <x:v>No se asigna valor terminal</x:v>
      </x:c>
      <x:c r="F15" s="17" t="str">
        <x:v>No validado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50" hidden="0" customWidth="1"/>
    <x:col min="7" max="7" width="16" hidden="0" customWidth="1"/>
  </x:cols>
  <x:sheetData>
    <x:row r="1" ht="28" customHeight="1">
      <x:c r="A1" s="4" t="str">
        <x:v>INVERSIÓN INICIAL Y ESTRUCTURA DE COSTOS</x:v>
      </x:c>
      <x:c r="B1" s="4"/>
      <x:c r="C1" s="4"/>
      <x:c r="D1" s="4"/>
      <x:c r="E1" s="4"/>
      <x:c r="F1" s="4"/>
      <x:c r="G1" s="4"/>
    </x:row>
    <x:row r="3">
      <x:c r="A3" s="11" t="str">
        <x:v>Concepto</x:v>
      </x:c>
      <x:c r="B3" s="11" t="str">
        <x:v>Tipo</x:v>
      </x:c>
      <x:c r="C3" s="11" t="str">
        <x:v>Año 0</x:v>
      </x:c>
      <x:c r="D3" s="11" t="str">
        <x:v>Año 1</x:v>
      </x:c>
      <x:c r="E3" s="11" t="str">
        <x:v>Año 2+</x:v>
      </x:c>
      <x:c r="F3" s="11" t="str">
        <x:v>Criterio</x:v>
      </x:c>
      <x:c r="G3" s="11" t="str">
        <x:v>Estado</x:v>
      </x:c>
    </x:row>
    <x:row r="4">
      <x:c r="A4" s="17" t="str">
        <x:v>Desarrollo y documentación</x:v>
      </x:c>
      <x:c r="B4" s="17" t="str">
        <x:v>Inversión económica</x:v>
      </x:c>
      <x:c r="C4" s="69" t="n">
        <x:v>1500000</x:v>
      </x:c>
      <x:c r="D4" s="69" t="n">
        <x:v>0</x:v>
      </x:c>
      <x:c r="E4" s="69" t="n">
        <x:v>0</x:v>
      </x:c>
      <x:c r="F4" s="17" t="str">
        <x:v>Costo de oportunidad académico del trabajo inicial</x:v>
      </x:c>
      <x:c r="G4" s="17" t="str">
        <x:v>Supuesto</x:v>
      </x:c>
    </x:row>
    <x:row r="5">
      <x:c r="A5" s="17" t="str">
        <x:v>Preparación de lanzamiento / configuración</x:v>
      </x:c>
      <x:c r="B5" s="17" t="str">
        <x:v>Inversión económica</x:v>
      </x:c>
      <x:c r="C5" s="69" t="n">
        <x:v>500000</x:v>
      </x:c>
      <x:c r="D5" s="69" t="n">
        <x:v>0</x:v>
      </x:c>
      <x:c r="E5" s="69" t="n">
        <x:v>0</x:v>
      </x:c>
      <x:c r="F5" s="17" t="str">
        <x:v>Dominio, configuración, despliegue y puesta en marcha</x:v>
      </x:c>
      <x:c r="G5" s="17" t="str">
        <x:v>Supuesto</x:v>
      </x:c>
    </x:row>
    <x:row r="6">
      <x:c r="A6" s="17" t="str">
        <x:v>Validación / dispositivos / contingencia</x:v>
      </x:c>
      <x:c r="B6" s="17" t="str">
        <x:v>Inversión económica</x:v>
      </x:c>
      <x:c r="C6" s="69" t="n">
        <x:v>500000</x:v>
      </x:c>
      <x:c r="D6" s="69" t="n">
        <x:v>0</x:v>
      </x:c>
      <x:c r="E6" s="69" t="n">
        <x:v>0</x:v>
      </x:c>
      <x:c r="F6" s="17" t="str">
        <x:v>Pruebas, validación física y contingencia</x:v>
      </x:c>
      <x:c r="G6" s="17" t="str">
        <x:v>Supuesto</x:v>
      </x:c>
    </x:row>
    <x:row r="7">
      <x:c r="A7" s="17" t="str">
        <x:v>Marketing inicial</x:v>
      </x:c>
      <x:c r="B7" s="17" t="str">
        <x:v>Inversión económica</x:v>
      </x:c>
      <x:c r="C7" s="69" t="n">
        <x:v>500000</x:v>
      </x:c>
      <x:c r="D7" s="69" t="n">
        <x:v>0</x:v>
      </x:c>
      <x:c r="E7" s="69" t="n">
        <x:v>0</x:v>
      </x:c>
      <x:c r="F7" s="17" t="str">
        <x:v>Captación inicial de pilotos/clientes</x:v>
      </x:c>
      <x:c r="G7" s="17" t="str">
        <x:v>Supuesto</x:v>
      </x:c>
    </x:row>
    <x:row r="8">
      <x:c r="A8" s="17" t="str">
        <x:v>Soporte y administración</x:v>
      </x:c>
      <x:c r="B8" s="17" t="str">
        <x:v>Costo fijo</x:v>
      </x:c>
      <x:c r="C8" s="69" t="n">
        <x:v>0</x:v>
      </x:c>
      <x:c r="D8" s="69" t="n">
        <x:v>1500000</x:v>
      </x:c>
      <x:c r="E8" s="69" t="n">
        <x:v>0</x:v>
      </x:c>
      <x:c r="F8" s="17" t="str">
        <x:v>Operación bootstrapped durante el primer año</x:v>
      </x:c>
      <x:c r="G8" s="17" t="str">
        <x:v>Supuesto</x:v>
      </x:c>
    </x:row>
    <x:row r="9">
      <x:c r="A9" s="17" t="str">
        <x:v>Marketing recurrente</x:v>
      </x:c>
      <x:c r="B9" s="17" t="str">
        <x:v>Costo fijo</x:v>
      </x:c>
      <x:c r="C9" s="69" t="n">
        <x:v>0</x:v>
      </x:c>
      <x:c r="D9" s="69" t="n">
        <x:v>600000</x:v>
      </x:c>
      <x:c r="E9" s="69" t="n">
        <x:v>0</x:v>
      </x:c>
      <x:c r="F9" s="17" t="str">
        <x:v>Difusión y adquisición controlada</x:v>
      </x:c>
      <x:c r="G9" s="17" t="str">
        <x:v>Supuesto</x:v>
      </x:c>
    </x:row>
    <x:row r="10">
      <x:c r="A10" s="17" t="str">
        <x:v>Infraestructura y herramientas base</x:v>
      </x:c>
      <x:c r="B10" s="17" t="str">
        <x:v>Costo fijo</x:v>
      </x:c>
      <x:c r="C10" s="69" t="n">
        <x:v>0</x:v>
      </x:c>
      <x:c r="D10" s="69" t="n">
        <x:v>900000</x:v>
      </x:c>
      <x:c r="E10" s="69" t="n">
        <x:v>0</x:v>
      </x:c>
      <x:c r="F10" s="17" t="str">
        <x:v>Hosting, monitoreo, dominio y herramientas</x:v>
      </x:c>
      <x:c r="G10" s="17" t="str">
        <x:v>Supuesto</x:v>
      </x:c>
    </x:row>
    <x:row r="11">
      <x:c r="A11" s="17" t="str">
        <x:v>Costo por cliente</x:v>
      </x:c>
      <x:c r="B11" s="17" t="str">
        <x:v>Costo variable</x:v>
      </x:c>
      <x:c r="C11" s="69" t="n">
        <x:v>0</x:v>
      </x:c>
      <x:c r="D11" s="69" t="n">
        <x:v>0</x:v>
      </x:c>
      <x:c r="E11" s="69" t="n">
        <x:v>2000</x:v>
      </x:c>
      <x:c r="F11" s="17" t="str">
        <x:v>Asignación mensual por cliente pagado</x:v>
      </x:c>
      <x:c r="G11" s="17" t="str">
        <x:v>Supuesto</x:v>
      </x:c>
    </x:row>
    <x:row r="13">
      <x:c r="A13" s="11" t="str">
        <x:v>Resumen</x:v>
      </x:c>
      <x:c r="B13" s="11" t="str">
        <x:v>Monto</x:v>
      </x:c>
    </x:row>
    <x:row r="14">
      <x:c r="A14" t="str">
        <x:v>Inversión inicial total</x:v>
      </x:c>
      <x:c r="B14" s="38" t="n">
        <x:f>SUM(C4:C7)</x:f>
        <x:v>3000000</x:v>
      </x:c>
    </x:row>
    <x:row r="15">
      <x:c r="A15" t="str">
        <x:v>Costo fijo año 1</x:v>
      </x:c>
      <x:c r="B15" s="38" t="n">
        <x:f>SUM(D8:D10)</x:f>
        <x:v>3000000</x:v>
      </x:c>
    </x:row>
    <x:row r="16">
      <x:c r="A16" t="str">
        <x:v>Costo variable / cliente / mes</x:v>
      </x:c>
      <x:c r="B16" s="38" t="n">
        <x:f>E11</x:f>
        <x:v>2000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20" hidden="0" customWidth="1"/>
    <x:col min="7" max="7" width="22" hidden="0" customWidth="1"/>
    <x:col min="8" max="8" width="20" hidden="0" customWidth="1"/>
  </x:cols>
  <x:sheetData>
    <x:row r="1" ht="28" customHeight="1">
      <x:c r="A1" s="4" t="str">
        <x:v>PROYECCIÓN COMERCIAL - ESCENARIO BASE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Año</x:v>
      </x:c>
      <x:c r="B3" s="11" t="str">
        <x:v>Clientes inicio</x:v>
      </x:c>
      <x:c r="C3" s="11" t="str">
        <x:v>Clientes fin</x:v>
      </x:c>
      <x:c r="D3" s="11" t="str">
        <x:v>Clientes promedio</x:v>
      </x:c>
      <x:c r="E3" s="11" t="str">
        <x:v>ARPU mensual</x:v>
      </x:c>
      <x:c r="F3" s="11" t="str">
        <x:v>Ingreso anual</x:v>
      </x:c>
      <x:c r="G3" s="11" t="str">
        <x:v>Costo variable anual</x:v>
      </x:c>
      <x:c r="H3" s="11" t="str">
        <x:v>Margen contribución</x:v>
      </x:c>
    </x:row>
    <x:row r="4">
      <x:c r="A4" t="n">
        <x:v>1</x:v>
      </x:c>
      <x:c r="B4" s="17" t="n">
        <x:v>0</x:v>
      </x:c>
      <x:c r="C4" s="28" t="n">
        <x:v>20</x:v>
      </x:c>
      <x:c r="D4" s="17" t="n">
        <x:f>(B4+C4)/2</x:f>
        <x:v>10</x:v>
      </x:c>
      <x:c r="E4" s="42" t="n">
        <x:f>Supuestos!$I$4</x:f>
        <x:v>13500</x:v>
      </x:c>
      <x:c r="F4" s="42" t="n">
        <x:f>D4*E4*12</x:f>
        <x:v>1620000</x:v>
      </x:c>
      <x:c r="G4" s="42" t="n">
        <x:f>D4*Supuestos!$B$8*12</x:f>
        <x:v>240000</x:v>
      </x:c>
      <x:c r="H4" s="42" t="n">
        <x:f>F4-G4</x:f>
        <x:v>1380000</x:v>
      </x:c>
    </x:row>
    <x:row r="5">
      <x:c r="A5" t="n">
        <x:v>2</x:v>
      </x:c>
      <x:c r="B5" s="17" t="n">
        <x:f>C4</x:f>
        <x:v>20</x:v>
      </x:c>
      <x:c r="C5" s="28" t="n">
        <x:v>45</x:v>
      </x:c>
      <x:c r="D5" s="17" t="n">
        <x:f>(B5+C5)/2</x:f>
        <x:v>32.5</x:v>
      </x:c>
      <x:c r="E5" s="42" t="n">
        <x:f>Supuestos!$I$4</x:f>
        <x:v>13500</x:v>
      </x:c>
      <x:c r="F5" s="42" t="n">
        <x:f>D5*E5*12</x:f>
        <x:v>5265000</x:v>
      </x:c>
      <x:c r="G5" s="42" t="n">
        <x:f>D5*Supuestos!$B$8*12</x:f>
        <x:v>780000</x:v>
      </x:c>
      <x:c r="H5" s="42" t="n">
        <x:f>F5-G5</x:f>
        <x:v>4485000</x:v>
      </x:c>
    </x:row>
    <x:row r="6">
      <x:c r="A6" t="n">
        <x:v>3</x:v>
      </x:c>
      <x:c r="B6" s="17" t="n">
        <x:f>C5</x:f>
        <x:v>45</x:v>
      </x:c>
      <x:c r="C6" s="28" t="n">
        <x:v>80</x:v>
      </x:c>
      <x:c r="D6" s="17" t="n">
        <x:f>(B6+C6)/2</x:f>
        <x:v>62.5</x:v>
      </x:c>
      <x:c r="E6" s="42" t="n">
        <x:f>Supuestos!$I$4</x:f>
        <x:v>13500</x:v>
      </x:c>
      <x:c r="F6" s="42" t="n">
        <x:f>D6*E6*12</x:f>
        <x:v>10125000</x:v>
      </x:c>
      <x:c r="G6" s="42" t="n">
        <x:f>D6*Supuestos!$B$8*12</x:f>
        <x:v>1500000</x:v>
      </x:c>
      <x:c r="H6" s="42" t="n">
        <x:f>F6-G6</x:f>
        <x:v>8625000</x:v>
      </x:c>
    </x:row>
    <x:row r="7">
      <x:c r="A7" t="n">
        <x:v>4</x:v>
      </x:c>
      <x:c r="B7" s="17" t="n">
        <x:f>C6</x:f>
        <x:v>80</x:v>
      </x:c>
      <x:c r="C7" s="28" t="n">
        <x:v>130</x:v>
      </x:c>
      <x:c r="D7" s="17" t="n">
        <x:f>(B7+C7)/2</x:f>
        <x:v>105</x:v>
      </x:c>
      <x:c r="E7" s="42" t="n">
        <x:f>Supuestos!$I$4</x:f>
        <x:v>13500</x:v>
      </x:c>
      <x:c r="F7" s="42" t="n">
        <x:f>D7*E7*12</x:f>
        <x:v>17010000</x:v>
      </x:c>
      <x:c r="G7" s="42" t="n">
        <x:f>D7*Supuestos!$B$8*12</x:f>
        <x:v>2520000</x:v>
      </x:c>
      <x:c r="H7" s="42" t="n">
        <x:f>F7-G7</x:f>
        <x:v>14490000</x:v>
      </x:c>
    </x:row>
    <x:row r="8">
      <x:c r="A8" t="n">
        <x:v>5</x:v>
      </x:c>
      <x:c r="B8" s="17" t="n">
        <x:f>C7</x:f>
        <x:v>130</x:v>
      </x:c>
      <x:c r="C8" s="28" t="n">
        <x:v>200</x:v>
      </x:c>
      <x:c r="D8" s="17" t="n">
        <x:f>(B8+C8)/2</x:f>
        <x:v>165</x:v>
      </x:c>
      <x:c r="E8" s="42" t="n">
        <x:f>Supuestos!$I$4</x:f>
        <x:v>13500</x:v>
      </x:c>
      <x:c r="F8" s="42" t="n">
        <x:f>D8*E8*12</x:f>
        <x:v>26730000</x:v>
      </x:c>
      <x:c r="G8" s="42" t="n">
        <x:f>D8*Supuestos!$B$8*12</x:f>
        <x:v>3960000</x:v>
      </x:c>
      <x:c r="H8" s="42" t="n">
        <x:f>F8-G8</x:f>
        <x:v>22770000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a60266c8344742c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4" t="str">
        <x:v>FLUJO DE CAJA DEL PROYECTO (CLP)</x:v>
      </x:c>
      <x:c r="B1" s="4"/>
      <x:c r="C1" s="4"/>
      <x:c r="D1" s="4"/>
      <x:c r="E1" s="4"/>
      <x:c r="F1" s="4"/>
      <x:c r="G1" s="4"/>
    </x:row>
    <x:row r="3">
      <x:c r="A3" s="11" t="str">
        <x:v>Concepto</x:v>
      </x:c>
      <x:c r="B3" s="11" t="str">
        <x:v>Año 0</x:v>
      </x:c>
      <x:c r="C3" s="11" t="str">
        <x:v>Año 1</x:v>
      </x:c>
      <x:c r="D3" s="11" t="str">
        <x:v>Año 2</x:v>
      </x:c>
      <x:c r="E3" s="11" t="str">
        <x:v>Año 3</x:v>
      </x:c>
      <x:c r="F3" s="11" t="str">
        <x:v>Año 4</x:v>
      </x:c>
      <x:c r="G3" s="11" t="str">
        <x:v>Año 5</x:v>
      </x:c>
      <x:c r="I3" t="str">
        <x:v>Año 0</x:v>
      </x:c>
      <x:c r="J3" t="str">
        <x:v>Año 1</x:v>
      </x:c>
      <x:c r="K3" t="str">
        <x:v>Año 2</x:v>
      </x:c>
      <x:c r="L3" t="str">
        <x:v>Año 3</x:v>
      </x:c>
      <x:c r="M3" t="str">
        <x:v>Año 4</x:v>
      </x:c>
      <x:c r="N3" t="str">
        <x:v>Año 5</x:v>
      </x:c>
    </x:row>
    <x:row r="4">
      <x:c r="A4" t="str">
        <x:v>Ingresos por suscripción</x:v>
      </x:c>
      <x:c r="B4" s="46" t="n">
        <x:v>0</x:v>
      </x:c>
      <x:c r="C4" s="54" t="n">
        <x:f>Proyeccion_Base!F4</x:f>
        <x:v>1620000</x:v>
      </x:c>
      <x:c r="D4" s="54" t="n">
        <x:f>Proyeccion_Base!F5</x:f>
        <x:v>5265000</x:v>
      </x:c>
      <x:c r="E4" s="54" t="n">
        <x:f>Proyeccion_Base!F6</x:f>
        <x:v>10125000</x:v>
      </x:c>
      <x:c r="F4" s="54" t="n">
        <x:f>Proyeccion_Base!F7</x:f>
        <x:v>17010000</x:v>
      </x:c>
      <x:c r="G4" s="54" t="n">
        <x:f>Proyeccion_Base!F8</x:f>
        <x:v>26730000</x:v>
      </x:c>
      <x:c r="I4" t="n">
        <x:f>B11</x:f>
        <x:v>-3000000</x:v>
      </x:c>
      <x:c r="J4" t="n">
        <x:f>C11</x:f>
        <x:v>-1620000</x:v>
      </x:c>
      <x:c r="K4" t="n">
        <x:f>D11</x:f>
        <x:v>945000</x:v>
      </x:c>
      <x:c r="L4" t="n">
        <x:f>E11</x:f>
        <x:v>4825800</x:v>
      </x:c>
      <x:c r="M4" t="n">
        <x:f>F11</x:f>
        <x:v>10410864</x:v>
      </x:c>
      <x:c r="N4" t="n">
        <x:f>G11</x:f>
        <x:v>18388533.119999997</x:v>
      </x:c>
    </x:row>
    <x:row r="5">
      <x:c r="A5" t="str">
        <x:v>Costos variables</x:v>
      </x:c>
      <x:c r="B5" s="46" t="n">
        <x:v>0</x:v>
      </x:c>
      <x:c r="C5" s="54" t="n">
        <x:f>-Proyeccion_Base!G4</x:f>
        <x:v>-240000</x:v>
      </x:c>
      <x:c r="D5" s="54" t="n">
        <x:f>-Proyeccion_Base!G5</x:f>
        <x:v>-780000</x:v>
      </x:c>
      <x:c r="E5" s="54" t="n">
        <x:f>-Proyeccion_Base!G6</x:f>
        <x:v>-1500000</x:v>
      </x:c>
      <x:c r="F5" s="54" t="n">
        <x:f>-Proyeccion_Base!G7</x:f>
        <x:v>-2520000</x:v>
      </x:c>
      <x:c r="G5" s="54" t="n">
        <x:f>-Proyeccion_Base!G8</x:f>
        <x:v>-3960000</x:v>
      </x:c>
    </x:row>
    <x:row r="6">
      <x:c r="A6" t="str">
        <x:v>Margen de contribución</x:v>
      </x:c>
      <x:c r="B6" s="46" t="n">
        <x:v>0</x:v>
      </x:c>
      <x:c r="C6" s="54" t="n">
        <x:f>C4+C5</x:f>
        <x:v>1380000</x:v>
      </x:c>
      <x:c r="D6" s="54" t="n">
        <x:f>D4+D5</x:f>
        <x:v>4485000</x:v>
      </x:c>
      <x:c r="E6" s="54" t="n">
        <x:f>E4+E5</x:f>
        <x:v>8625000</x:v>
      </x:c>
      <x:c r="F6" s="54" t="n">
        <x:f>F4+F5</x:f>
        <x:v>14490000</x:v>
      </x:c>
      <x:c r="G6" s="54" t="n">
        <x:f>G4+G5</x:f>
        <x:v>22770000</x:v>
      </x:c>
    </x:row>
    <x:row r="7">
      <x:c r="A7" t="str">
        <x:v>Costos fijos</x:v>
      </x:c>
      <x:c r="B7" s="46" t="n">
        <x:v>0</x:v>
      </x:c>
      <x:c r="C7" s="54" t="n">
        <x:f>-Supuestos!$B$9</x:f>
        <x:v>-3000000</x:v>
      </x:c>
      <x:c r="D7" s="54" t="n">
        <x:f>-Supuestos!$B$9*(1+Supuestos!$B$10)^1</x:f>
        <x:v>-3240000</x:v>
      </x:c>
      <x:c r="E7" s="54" t="n">
        <x:f>-Supuestos!$B$9*(1+Supuestos!$B$10)^2</x:f>
        <x:v>-3499200.0000000005</x:v>
      </x:c>
      <x:c r="F7" s="54" t="n">
        <x:f>-Supuestos!$B$9*(1+Supuestos!$B$10)^3</x:f>
        <x:v>-3779136.0000000005</x:v>
      </x:c>
      <x:c r="G7" s="54" t="n">
        <x:f>-Supuestos!$B$9*(1+Supuestos!$B$10)^4</x:f>
        <x:v>-4081466.880000001</x:v>
      </x:c>
    </x:row>
    <x:row r="8">
      <x:c r="A8" t="str">
        <x:v>Flujo operacional</x:v>
      </x:c>
      <x:c r="B8" s="46" t="n">
        <x:v>0</x:v>
      </x:c>
      <x:c r="C8" s="54" t="n">
        <x:f>C6+C7</x:f>
        <x:v>-1620000</x:v>
      </x:c>
      <x:c r="D8" s="54" t="n">
        <x:f>D6+D7</x:f>
        <x:v>1245000</x:v>
      </x:c>
      <x:c r="E8" s="54" t="n">
        <x:f>E6+E7</x:f>
        <x:v>5125800</x:v>
      </x:c>
      <x:c r="F8" s="54" t="n">
        <x:f>F6+F7</x:f>
        <x:v>10710864</x:v>
      </x:c>
      <x:c r="G8" s="54" t="n">
        <x:f>G6+G7</x:f>
        <x:v>18688533.119999997</x:v>
      </x:c>
    </x:row>
    <x:row r="9">
      <x:c r="A9" t="str">
        <x:v>CAPEX / reinversión</x:v>
      </x:c>
      <x:c r="B9" s="46" t="n">
        <x:f>-Supuestos!$B$11</x:f>
        <x:v>-3000000</x:v>
      </x:c>
      <x:c r="C9" s="54" t="n">
        <x:v>0</x:v>
      </x:c>
      <x:c r="D9" s="54" t="n">
        <x:f>-Supuestos!$B$12</x:f>
        <x:v>-300000</x:v>
      </x:c>
      <x:c r="E9" s="54" t="n">
        <x:f>-Supuestos!$B$12</x:f>
        <x:v>-300000</x:v>
      </x:c>
      <x:c r="F9" s="54" t="n">
        <x:f>-Supuestos!$B$12</x:f>
        <x:v>-300000</x:v>
      </x:c>
      <x:c r="G9" s="54" t="n">
        <x:f>-Supuestos!$B$12</x:f>
        <x:v>-300000</x:v>
      </x:c>
    </x:row>
    <x:row r="10">
      <x:c r="A10" t="str">
        <x:v>Valor residual</x:v>
      </x:c>
      <x:c r="B10" s="46" t="n">
        <x:v>0</x:v>
      </x:c>
      <x:c r="C10" s="54" t="n">
        <x:v>0</x:v>
      </x:c>
      <x:c r="D10" s="54" t="n">
        <x:v>0</x:v>
      </x:c>
      <x:c r="E10" s="54" t="n">
        <x:v>0</x:v>
      </x:c>
      <x:c r="F10" s="54" t="n">
        <x:v>0</x:v>
      </x:c>
      <x:c r="G10" s="54" t="n">
        <x:f>Supuestos!B15</x:f>
        <x:v>0</x:v>
      </x:c>
    </x:row>
    <x:row r="11">
      <x:c r="A11" t="str">
        <x:v>Flujo de caja libre</x:v>
      </x:c>
      <x:c r="B11" s="38" t="n">
        <x:f>B4+B5+B7+B9+B10</x:f>
        <x:v>-3000000</x:v>
      </x:c>
      <x:c r="C11" s="38" t="n">
        <x:f>C4+C5+C7+C9+C10</x:f>
        <x:v>-1620000</x:v>
      </x:c>
      <x:c r="D11" s="38" t="n">
        <x:f>D4+D5+D7+D9+D10</x:f>
        <x:v>945000</x:v>
      </x:c>
      <x:c r="E11" s="38" t="n">
        <x:f>E4+E5+E7+E9+E10</x:f>
        <x:v>4825800</x:v>
      </x:c>
      <x:c r="F11" s="38" t="n">
        <x:f>F4+F5+F7+F9+F10</x:f>
        <x:v>10410864</x:v>
      </x:c>
      <x:c r="G11" s="38" t="n">
        <x:f>G4+G5+G7+G9+G10</x:f>
        <x:v>18388533.119999997</x:v>
      </x:c>
    </x:row>
    <x:row r="12">
      <x:c r="A12" t="str">
        <x:v>Factor descuento</x:v>
      </x:c>
      <x:c r="B12" s="56" t="n">
        <x:v>1</x:v>
      </x:c>
      <x:c r="C12" s="56" t="n">
        <x:f>1/(1+Supuestos!B13)^1</x:f>
        <x:v>0.8928571428571428</x:v>
      </x:c>
      <x:c r="D12" s="56" t="n">
        <x:f>1/(1+Supuestos!B13)^2</x:f>
        <x:v>0.7971938775510203</x:v>
      </x:c>
      <x:c r="E12" s="56" t="n">
        <x:f>1/(1+Supuestos!B13)^3</x:f>
        <x:v>0.7117802478134109</x:v>
      </x:c>
      <x:c r="F12" s="56" t="n">
        <x:f>1/(1+Supuestos!B13)^4</x:f>
        <x:v>0.6355180784048312</x:v>
      </x:c>
      <x:c r="G12" s="56" t="n">
        <x:f>1/(1+Supuestos!B13)^5</x:f>
        <x:v>0.5674268557185992</x:v>
      </x:c>
    </x:row>
    <x:row r="13">
      <x:c r="A13" t="str">
        <x:v>Flujo descontado</x:v>
      </x:c>
      <x:c r="B13" s="38" t="n">
        <x:f>B11*B12</x:f>
        <x:v>-3000000</x:v>
      </x:c>
      <x:c r="C13" s="38" t="n">
        <x:f>C11*C12</x:f>
        <x:v>-1446428.5714285714</x:v>
      </x:c>
      <x:c r="D13" s="38" t="n">
        <x:f>D11*D12</x:f>
        <x:v>753348.2142857142</x:v>
      </x:c>
      <x:c r="E13" s="38" t="n">
        <x:f>E11*E12</x:f>
        <x:v>3434909.1198979584</x:v>
      </x:c>
      <x:c r="F13" s="38" t="n">
        <x:f>F11*F12</x:f>
        <x:v>6616292.283814034</x:v>
      </x:c>
      <x:c r="G13" s="38" t="n">
        <x:f>G11*G12</x:f>
        <x:v>10434147.529558921</x:v>
      </x:c>
    </x:row>
    <x:row r="14">
      <x:c r="A14" t="str">
        <x:v>Flujo acumulado</x:v>
      </x:c>
      <x:c r="B14" s="38" t="n">
        <x:f>B11</x:f>
        <x:v>-3000000</x:v>
      </x:c>
      <x:c r="C14" s="38" t="n">
        <x:f>B14+C11</x:f>
        <x:v>-4620000</x:v>
      </x:c>
      <x:c r="D14" s="38" t="n">
        <x:f>C14+D11</x:f>
        <x:v>-3675000</x:v>
      </x:c>
      <x:c r="E14" s="38" t="n">
        <x:f>D14+E11</x:f>
        <x:v>1150800</x:v>
      </x:c>
      <x:c r="F14" s="38" t="n">
        <x:f>E14+F11</x:f>
        <x:v>11561664</x:v>
      </x:c>
      <x:c r="G14" s="38" t="n">
        <x:f>F14+G11</x:f>
        <x:v>29950197.119999997</x:v>
      </x:c>
    </x:row>
    <x:row r="16">
      <x:c r="A16" s="11" t="str">
        <x:v>Indicador</x:v>
      </x:c>
      <x:c r="B16" s="11" t="str">
        <x:v>Resultado</x:v>
      </x:c>
    </x:row>
    <x:row r="17">
      <x:c r="A17" t="str">
        <x:v>VAN</x:v>
      </x:c>
      <x:c r="B17" s="46" t="n">
        <x:f>SUM(B13:G13)</x:f>
        <x:v>16792268.576128058</x:v>
      </x:c>
    </x:row>
    <x:row r="18">
      <x:c r="A18" t="str">
        <x:v>TIR</x:v>
      </x:c>
      <x:c r="B18" s="58" t="n">
        <x:f>Calculo_TIR!E13</x:f>
        <x:v>0.6879305609474976</x:v>
      </x:c>
    </x:row>
    <x:row r="19">
      <x:c r="A19" t="str">
        <x:v>ROI simple acumulado 5 años</x:v>
      </x:c>
      <x:c r="B19" s="58" t="n">
        <x:f>(SUM(C4:G4)-(ABS(B9)+ABS(SUM(C5:G5))+ABS(SUM(C7:G7))+ABS(SUM(C9:G9))))/(ABS(B9)+ABS(SUM(C5:G5))+ABS(SUM(C7:G7))+ABS(SUM(C9:G9)))</x:f>
        <x:v>0.9724152208600108</x:v>
      </x:c>
    </x:row>
    <x:row r="20">
      <x:c r="A20" t="str">
        <x:v>Payback aprox. (años)</x:v>
      </x:c>
      <x:c r="B20" s="62" t="n">
        <x:f>IF(C14&gt;=0,ABS(B14)/C11,IF(D14&gt;=0,1+ABS(C14)/D11,IF(E14&gt;=0,2+ABS(D14)/E11,IF(F14&gt;=0,3+ABS(E14)/F11,IF(G14&gt;=0,4+ABS(F14)/G11,5.1)))))</x:f>
        <x:v>2.761531766753699</x:v>
      </x:c>
    </x:row>
    <x:row r="21">
      <x:c r="A21" t="str">
        <x:v>Punto equilibrio clientes</x:v>
      </x:c>
      <x:c r="B21" s="62" t="n">
        <x:f>Supuestos!I7</x:f>
        <x:v>21.73913043478261</x:v>
      </x:c>
    </x:row>
    <x:row r="22">
      <x:c r="A22" t="str">
        <x:v>Conclusión escenario base</x:v>
      </x:c>
      <x:c r="B22" t="str">
        <x:f>IF(B17&gt;0,"Viable en el escenario base","No viable en el escenario base")</x:f>
        <x:v>Viable en el escenario base</x:v>
      </x:c>
    </x:row>
    <x:row r="23">
      <x:c r="A23" t="str">
        <x:v>Naturaleza del resultado</x:v>
      </x:c>
      <x:c r="B23" t="str">
        <x:v>Escenario académico; no validación comercial</x:v>
      </x:c>
    </x:row>
  </x:sheetData>
  <x:mergeCells>
    <x:mergeCell ref="A1:G1"/>
  </x:mergeCells>
  <x:pageMargins left="0.7" right="0.7" top="0.75" bottom="0.75" header="0.3" footer="0.3"/>
  <x:drawing xmlns:r="http://schemas.openxmlformats.org/officeDocument/2006/relationships" r:id="Rda7cf52ca5cc4018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8" hidden="0" customWidth="1"/>
    <x:col min="8" max="8" width="14" hidden="0" customWidth="1"/>
    <x:col min="9" max="9" width="12" hidden="0" customWidth="1"/>
    <x:col min="10" max="10" width="58" hidden="0" customWidth="1"/>
    <x:col min="11" max="11" width="24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 ht="28" customHeight="1">
      <x:c r="A1" s="4" t="str">
        <x:v>ANÁLISIS DE ESCENARIOS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1" t="str">
        <x:v>Escenario</x:v>
      </x:c>
      <x:c r="B3" s="11" t="str">
        <x:v>Clientes Y1</x:v>
      </x:c>
      <x:c r="C3" s="11" t="str">
        <x:v>Y2</x:v>
      </x:c>
      <x:c r="D3" s="11" t="str">
        <x:v>Y3</x:v>
      </x:c>
      <x:c r="E3" s="11" t="str">
        <x:v>Y4</x:v>
      </x:c>
      <x:c r="F3" s="11" t="str">
        <x:v>Y5</x:v>
      </x:c>
      <x:c r="G3" s="11" t="str">
        <x:v>VAN</x:v>
      </x:c>
      <x:c r="H3" s="11" t="str">
        <x:v>TIR</x:v>
      </x:c>
      <x:c r="I3" s="11" t="str">
        <x:v>Payback</x:v>
      </x:c>
      <x:c r="J3" s="16" t="str">
        <x:v>Interpretación</x:v>
      </x:c>
      <x:c r="K3" s="16" t="str">
        <x:v>Validación</x:v>
      </x:c>
      <x:c r="M3" s="11" t="str">
        <x:v>Escenario</x:v>
      </x:c>
      <x:c r="N3" s="11" t="str">
        <x:v>CF0</x:v>
      </x:c>
      <x:c r="O3" s="11" t="str">
        <x:v>CF1</x:v>
      </x:c>
      <x:c r="P3" s="11" t="str">
        <x:v>CF2</x:v>
      </x:c>
      <x:c r="Q3" s="11" t="str">
        <x:v>CF3</x:v>
      </x:c>
      <x:c r="R3" s="11" t="str">
        <x:v>CF4</x:v>
      </x:c>
      <x:c r="S3" s="11" t="str">
        <x:v>CF5</x:v>
      </x:c>
      <x:c r="U3" s="11" t="str">
        <x:v>Iter</x:v>
      </x:c>
      <x:c r="V3" s="11" t="str">
        <x:v>r</x:v>
      </x:c>
      <x:c r="W3" s="11" t="str">
        <x:v>VAN(r)</x:v>
      </x:c>
      <x:c r="X3" s="11" t="str">
        <x:v>Derivada</x:v>
      </x:c>
      <x:c r="Y3" s="11" t="str">
        <x:v>Nueva r</x:v>
      </x:c>
      <x:c r="Z3" s="11" t="str">
        <x:v>Nota</x:v>
      </x:c>
      <x:c r="AC3" s="11" t="str">
        <x:v>Iter</x:v>
      </x:c>
      <x:c r="AD3" s="11" t="str">
        <x:v>r</x:v>
      </x:c>
      <x:c r="AE3" s="11" t="str">
        <x:v>VAN(r)</x:v>
      </x:c>
      <x:c r="AF3" s="11" t="str">
        <x:v>Derivada</x:v>
      </x:c>
      <x:c r="AG3" s="11" t="str">
        <x:v>Nueva r</x:v>
      </x:c>
      <x:c r="AH3" s="11" t="str">
        <x:v>Nota</x:v>
      </x:c>
      <x:c r="AK3" s="11" t="str">
        <x:v>Iter</x:v>
      </x:c>
      <x:c r="AL3" s="11" t="str">
        <x:v>r</x:v>
      </x:c>
      <x:c r="AM3" s="11" t="str">
        <x:v>VAN(r)</x:v>
      </x:c>
      <x:c r="AN3" s="11" t="str">
        <x:v>Derivada</x:v>
      </x:c>
      <x:c r="AO3" s="11" t="str">
        <x:v>Nueva r</x:v>
      </x:c>
      <x:c r="AP3" s="11" t="str">
        <x:v>Nota</x:v>
      </x:c>
    </x:row>
    <x:row r="4">
      <x:c r="A4" t="str">
        <x:v>Pesimista</x:v>
      </x:c>
      <x:c r="B4" s="71" t="n">
        <x:v>5</x:v>
      </x:c>
      <x:c r="C4" s="71" t="n">
        <x:v>15</x:v>
      </x:c>
      <x:c r="D4" s="71" t="n">
        <x:v>30</x:v>
      </x:c>
      <x:c r="E4" s="71" t="n">
        <x:v>55</x:v>
      </x:c>
      <x:c r="F4" s="71" t="n">
        <x:v>85</x:v>
      </x:c>
      <x:c r="G4" s="46" t="n">
        <x:f>N4+O4/(1+Supuestos!$B$13)^1+P4/(1+Supuestos!$B$13)^2+Q4/(1+Supuestos!$B$13)^3+R4/(1+Supuestos!$B$13)^4+S4/(1+Supuestos!$B$13)^5</x:f>
        <x:v>-3456462.029167537</x:v>
      </x:c>
      <x:c r="H4" s="58" t="n">
        <x:f>Y9</x:f>
        <x:v>-0.049521022044728226</x:v>
      </x:c>
      <x:c r="I4" s="62" t="n">
        <x:f>IF(N4+O4&gt;=0,ABS(N4)/O4,IF(N4+O4+P4&gt;=0,1+ABS(N4+O4)/P4,IF(N4+O4+P4+Q4&gt;=0,2+ABS(N4+O4+P4)/Q4,IF(N4+O4+P4+Q4+R4&gt;=0,3+ABS(N4+O4+P4+Q4)/R4,IF(N4+O4+P4+Q4+R4+S4&gt;=0,4+ABS(N4+O4+P4+Q4+R4)/S4,5.1)))))</x:f>
        <x:v>5.1</x:v>
      </x:c>
      <x:c r="J4" s="17" t="str">
        <x:v>Adopción débil y lenta; stress test del modelo lean.</x:v>
      </x:c>
      <x:c r="K4" s="17" t="str">
        <x:v>Supuesto académico</x:v>
      </x:c>
      <x:c r="M4" t="str">
        <x:f>A4</x:f>
        <x:v>Pesimista</x:v>
      </x:c>
      <x:c r="N4" s="46" t="n">
        <x:f>-Supuestos!$B$11</x:f>
        <x:v>-3000000</x:v>
      </x:c>
      <x:c r="O4" s="46" t="n">
        <x:f>(B4/2)*Supuestos!$I$4*12-(B4/2)*Supuestos!$B$8*12-Supuestos!$B$9</x:f>
        <x:v>-2655000</x:v>
      </x:c>
      <x:c r="P4" s="46" t="n">
        <x:f>((B4+C4)/2)*Supuestos!$I$4*12-((B4+C4)/2)*Supuestos!$B$8*12-Supuestos!$B$9*(1+Supuestos!$B$10)^1-Supuestos!$B$12</x:f>
        <x:v>-2160000</x:v>
      </x:c>
      <x:c r="Q4" s="46" t="n">
        <x:f>((C4+D4)/2)*Supuestos!$I$4*12-((C4+D4)/2)*Supuestos!$B$8*12-Supuestos!$B$9*(1+Supuestos!$B$10)^2-Supuestos!$B$12</x:f>
        <x:v>-694200.0000000005</x:v>
      </x:c>
      <x:c r="R4" s="46" t="n">
        <x:f>((D4+E4)/2)*Supuestos!$I$4*12-((D4+E4)/2)*Supuestos!$B$8*12-Supuestos!$B$9*(1+Supuestos!$B$10)^3-Supuestos!$B$12</x:f>
        <x:v>1785863.9999999995</x:v>
      </x:c>
      <x:c r="S4" s="46" t="n">
        <x:f>((E4+F4)/2)*Supuestos!$I$4*12-((E4+F4)/2)*Supuestos!$B$8*12-Supuestos!$B$9*(1+Supuestos!$B$10)^4-Supuestos!$B$12</x:f>
        <x:v>5278533.119999999</x:v>
      </x:c>
      <x:c r="U4" t="n">
        <x:v>0</x:v>
      </x:c>
      <x:c r="V4" s="58" t="n">
        <x:v>0.1</x:v>
      </x:c>
      <x:c r="W4" t="n">
        <x:f>N4+O4/(1+V4)^1+P4/(1+V4)^2+Q4/(1+V4)^3+R4/(1+V4)^4+S4/(1+V4)^5</x:f>
        <x:v>-3223000.155230332</x:v>
      </x:c>
      <x:c r="X4" t="n">
        <x:f>-1*O4/(1+V4)^2-2*P4/(1+V4)^3-3*Q4/(1+V4)^4-4*R4/(1+V4)^5-5*S4/(1+V4)^6</x:f>
        <x:v>-12471157.188490815</x:v>
      </x:c>
      <x:c r="Y4" s="58" t="n">
        <x:f>V4-W4/X4</x:f>
        <x:v>-0.15843633485790107</x:v>
      </x:c>
      <x:c r="Z4" t="str">
        <x:v>Escenario 1</x:v>
      </x:c>
      <x:c r="AC4" t="n">
        <x:v>0</x:v>
      </x:c>
      <x:c r="AD4" s="58" t="n">
        <x:v>0.1</x:v>
      </x:c>
      <x:c r="AE4" t="n">
        <x:f>N5+O5/(1+AD4)^1+P5/(1+AD4)^2+Q5/(1+AD4)^3+R5/(1+AD4)^4+S5/(1+AD4)^5</x:f>
        <x:v>18462551.936964057</x:v>
      </x:c>
      <x:c r="AF4" t="n">
        <x:f>-1*O5/(1+AD4)^2-2*P5/(1+AD4)^3-3*Q5/(1+AD4)^4-4*R5/(1+AD4)^5-5*S5/(1+AD4)^6</x:f>
        <x:v>-87725948.58432756</x:v>
      </x:c>
      <x:c r="AG4" s="58" t="n">
        <x:f>AD4-AE4/AF4</x:f>
        <x:v>0.3104571365132258</x:v>
      </x:c>
      <x:c r="AH4" t="str">
        <x:v>Escenario 2</x:v>
      </x:c>
      <x:c r="AK4" t="n">
        <x:v>0</x:v>
      </x:c>
      <x:c r="AL4" s="58" t="n">
        <x:v>0.1</x:v>
      </x:c>
      <x:c r="AM4" t="n">
        <x:f>N6+O6/(1+AL4)^1+P6/(1+AL4)^2+Q6/(1+AL4)^3+R6/(1+AL4)^4+S6/(1+AL4)^5</x:f>
        <x:v>39669091.480338514</x:v>
      </x:c>
      <x:c r="AN4" t="n">
        <x:f>-1*O6/(1+AL4)^2-2*P6/(1+AL4)^3-3*Q6/(1+AL4)^4-4*R6/(1+AL4)^5-5*S6/(1+AL4)^6</x:f>
        <x:v>-163756189.1461823</x:v>
      </x:c>
      <x:c r="AO4" s="58" t="n">
        <x:f>AL4-AM4/AN4</x:f>
        <x:v>0.34224483781145276</x:v>
      </x:c>
      <x:c r="AP4" t="str">
        <x:v>Escenario 3</x:v>
      </x:c>
    </x:row>
    <x:row r="5">
      <x:c r="A5" t="str">
        <x:v>Base</x:v>
      </x:c>
      <x:c r="B5" s="71" t="n">
        <x:v>20</x:v>
      </x:c>
      <x:c r="C5" s="71" t="n">
        <x:v>45</x:v>
      </x:c>
      <x:c r="D5" s="71" t="n">
        <x:v>80</x:v>
      </x:c>
      <x:c r="E5" s="71" t="n">
        <x:v>130</x:v>
      </x:c>
      <x:c r="F5" s="71" t="n">
        <x:v>200</x:v>
      </x:c>
      <x:c r="G5" s="46" t="n">
        <x:f>N5+O5/(1+Supuestos!$B$13)^1+P5/(1+Supuestos!$B$13)^2+Q5/(1+Supuestos!$B$13)^3+R5/(1+Supuestos!$B$13)^4+S5/(1+Supuestos!$B$13)^5</x:f>
        <x:v>16792268.576128058</x:v>
      </x:c>
      <x:c r="H5" s="58" t="n">
        <x:f>AG9</x:f>
        <x:v>0.6879305605953872</x:v>
      </x:c>
      <x:c r="I5" s="62" t="n">
        <x:f>IF(N5+O5&gt;=0,ABS(N5)/O5,IF(N5+O5+P5&gt;=0,1+ABS(N5+O5)/P5,IF(N5+O5+P5+Q5&gt;=0,2+ABS(N5+O5+P5)/Q5,IF(N5+O5+P5+Q5+R5&gt;=0,3+ABS(N5+O5+P5+Q5)/R5,IF(N5+O5+P5+Q5+R5+S5&gt;=0,4+ABS(N5+O5+P5+Q5+R5)/S5,5.1)))))</x:f>
        <x:v>2.761531766753699</x:v>
      </x:c>
      <x:c r="J5" s="17" t="str">
        <x:v>Adopción gradual; escenario principal del modelo.</x:v>
      </x:c>
      <x:c r="K5" s="17" t="str">
        <x:v>Supuesto académico</x:v>
      </x:c>
      <x:c r="M5" t="str">
        <x:f>A5</x:f>
        <x:v>Base</x:v>
      </x:c>
      <x:c r="N5" s="46" t="n">
        <x:f>-Supuestos!$B$11</x:f>
        <x:v>-3000000</x:v>
      </x:c>
      <x:c r="O5" s="46" t="n">
        <x:f>(B5/2)*Supuestos!$I$4*12-(B5/2)*Supuestos!$B$8*12-Supuestos!$B$9</x:f>
        <x:v>-1620000</x:v>
      </x:c>
      <x:c r="P5" s="46" t="n">
        <x:f>((B5+C5)/2)*Supuestos!$I$4*12-((B5+C5)/2)*Supuestos!$B$8*12-Supuestos!$B$9*(1+Supuestos!$B$10)^1-Supuestos!$B$12</x:f>
        <x:v>945000</x:v>
      </x:c>
      <x:c r="Q5" s="46" t="n">
        <x:f>((C5+D5)/2)*Supuestos!$I$4*12-((C5+D5)/2)*Supuestos!$B$8*12-Supuestos!$B$9*(1+Supuestos!$B$10)^2-Supuestos!$B$12</x:f>
        <x:v>4825800</x:v>
      </x:c>
      <x:c r="R5" s="46" t="n">
        <x:f>((D5+E5)/2)*Supuestos!$I$4*12-((D5+E5)/2)*Supuestos!$B$8*12-Supuestos!$B$9*(1+Supuestos!$B$10)^3-Supuestos!$B$12</x:f>
        <x:v>10410864</x:v>
      </x:c>
      <x:c r="S5" s="46" t="n">
        <x:f>((E5+F5)/2)*Supuestos!$I$4*12-((E5+F5)/2)*Supuestos!$B$8*12-Supuestos!$B$9*(1+Supuestos!$B$10)^4-Supuestos!$B$12</x:f>
        <x:v>18388533.119999997</x:v>
      </x:c>
      <x:c r="U5" t="n">
        <x:f>U4+1</x:f>
        <x:v>1</x:v>
      </x:c>
      <x:c r="V5" s="58" t="n">
        <x:f>Y4</x:f>
        <x:v>-0.15843633485790107</x:v>
      </x:c>
      <x:c r="W5" t="n">
        <x:f>N4+O4/(1+V5)^1+P4/(1+V5)^2+Q4/(1+V5)^3+R4/(1+V5)^4+S4/(1+V5)^5</x:f>
        <x:v>5695833.881950476</x:v>
      </x:c>
      <x:c r="X5" t="n">
        <x:f>-1*O4/(1+V5)^2-2*P4/(1+V5)^3-3*Q4/(1+V5)^4-4*R4/(1+V5)^5-5*S4/(1+V5)^6</x:f>
        <x:v>-76069290.6019295</x:v>
      </x:c>
      <x:c r="Y5" s="58" t="n">
        <x:f>V5-W5/X5</x:f>
        <x:v>-0.08355941886618021</x:v>
      </x:c>
      <x:c r="AC5" t="n">
        <x:f>AC4+1</x:f>
        <x:v>1</x:v>
      </x:c>
      <x:c r="AD5" s="58" t="n">
        <x:f>AG4</x:f>
        <x:v>0.3104571365132258</x:v>
      </x:c>
      <x:c r="AE5" t="n">
        <x:f>N5+O5/(1+AD5)^1+P5/(1+AD5)^2+Q5/(1+AD5)^3+R5/(1+AD5)^4+S5/(1+AD5)^5</x:f>
        <x:v>6746711.467296194</x:v>
      </x:c>
      <x:c r="AF5" t="n">
        <x:f>-1*O5/(1+AD5)^2-2*P5/(1+AD5)^3-3*Q5/(1+AD5)^4-4*R5/(1+AD5)^5-5*S5/(1+AD5)^6</x:f>
        <x:v>-33735271.45250259</x:v>
      </x:c>
      <x:c r="AG5" s="58" t="n">
        <x:f>AD5-AE5/AF5</x:f>
        <x:v>0.5104469743538727</x:v>
      </x:c>
      <x:c r="AK5" t="n">
        <x:f>AK4+1</x:f>
        <x:v>1</x:v>
      </x:c>
      <x:c r="AL5" s="58" t="n">
        <x:f>AO4</x:f>
        <x:v>0.34224483781145276</x:v>
      </x:c>
      <x:c r="AM5" t="n">
        <x:f>N6+O6/(1+AL5)^1+P6/(1+AL5)^2+Q6/(1+AL5)^3+R6/(1+AL5)^4+S6/(1+AL5)^5</x:f>
        <x:v>15666979.92115508</x:v>
      </x:c>
      <x:c r="AN5" t="n">
        <x:f>-1*O6/(1+AL5)^2-2*P6/(1+AL5)^3-3*Q6/(1+AL5)^4-4*R6/(1+AL5)^5-5*S6/(1+AL5)^6</x:f>
        <x:v>-56822128.71178043</x:v>
      </x:c>
      <x:c r="AO5" s="58" t="n">
        <x:f>AL5-AM5/AN5</x:f>
        <x:v>0.6179645314650097</x:v>
      </x:c>
    </x:row>
    <x:row r="6">
      <x:c r="A6" t="str">
        <x:v>Optimista</x:v>
      </x:c>
      <x:c r="B6" s="71" t="n">
        <x:v>30</x:v>
      </x:c>
      <x:c r="C6" s="71" t="n">
        <x:v>70</x:v>
      </x:c>
      <x:c r="D6" s="71" t="n">
        <x:v>130</x:v>
      </x:c>
      <x:c r="E6" s="71" t="n">
        <x:v>210</x:v>
      </x:c>
      <x:c r="F6" s="71" t="n">
        <x:v>320</x:v>
      </x:c>
      <x:c r="G6" s="46" t="n">
        <x:f>N6+O6/(1+Supuestos!$B$13)^1+P6/(1+Supuestos!$B$13)^2+Q6/(1+Supuestos!$B$13)^3+R6/(1+Supuestos!$B$13)^4+S6/(1+Supuestos!$B$13)^5</x:f>
        <x:v>36548113.77362761</x:v>
      </x:c>
      <x:c r="H6" s="58" t="n">
        <x:f>AO9</x:f>
        <x:v>1.1326742915069967</x:v>
      </x:c>
      <x:c r="I6" s="62" t="n">
        <x:f>IF(N6+O6&gt;=0,ABS(N6)/O6,IF(N6+O6+P6&gt;=0,1+ABS(N6+O6)/P6,IF(N6+O6+P6+Q6&gt;=0,2+ABS(N6+O6+P6)/Q6,IF(N6+O6+P6+Q6+R6&gt;=0,3+ABS(N6+O6+P6+Q6)/R6,IF(N6+O6+P6+Q6+R6+S6&gt;=0,4+ABS(N6+O6+P6+Q6+R6)/S6,5.1)))))</x:f>
        <x:v>2.056995440364771</x:v>
      </x:c>
      <x:c r="J6" s="17" t="str">
        <x:v>Mayor captación y retención; exige más soporte operativo.</x:v>
      </x:c>
      <x:c r="K6" s="17" t="str">
        <x:v>Supuesto académico</x:v>
      </x:c>
      <x:c r="M6" t="str">
        <x:f>A6</x:f>
        <x:v>Optimista</x:v>
      </x:c>
      <x:c r="N6" s="46" t="n">
        <x:f>-Supuestos!$B$11</x:f>
        <x:v>-3000000</x:v>
      </x:c>
      <x:c r="O6" s="46" t="n">
        <x:f>(B6/2)*Supuestos!$I$4*12-(B6/2)*Supuestos!$B$8*12-Supuestos!$B$9</x:f>
        <x:v>-930000</x:v>
      </x:c>
      <x:c r="P6" s="46" t="n">
        <x:f>((B6+C6)/2)*Supuestos!$I$4*12-((B6+C6)/2)*Supuestos!$B$8*12-Supuestos!$B$9*(1+Supuestos!$B$10)^1-Supuestos!$B$12</x:f>
        <x:v>3360000</x:v>
      </x:c>
      <x:c r="Q6" s="46" t="n">
        <x:f>((C6+D6)/2)*Supuestos!$I$4*12-((C6+D6)/2)*Supuestos!$B$8*12-Supuestos!$B$9*(1+Supuestos!$B$10)^2-Supuestos!$B$12</x:f>
        <x:v>10000800</x:v>
      </x:c>
      <x:c r="R6" s="46" t="n">
        <x:f>((D6+E6)/2)*Supuestos!$I$4*12-((D6+E6)/2)*Supuestos!$B$8*12-Supuestos!$B$9*(1+Supuestos!$B$10)^3-Supuestos!$B$12</x:f>
        <x:v>19380864</x:v>
      </x:c>
      <x:c r="S6" s="46" t="n">
        <x:f>((E6+F6)/2)*Supuestos!$I$4*12-((E6+F6)/2)*Supuestos!$B$8*12-Supuestos!$B$9*(1+Supuestos!$B$10)^4-Supuestos!$B$12</x:f>
        <x:v>32188533.119999997</x:v>
      </x:c>
      <x:c r="U6" t="n">
        <x:f>U5+1</x:f>
        <x:v>2</x:v>
      </x:c>
      <x:c r="V6" s="58" t="n">
        <x:f>Y5</x:f>
        <x:v>-0.08355941886618021</x:v>
      </x:c>
      <x:c r="W6" t="n">
        <x:f>N4+O4/(1+V6)^1+P4/(1+V6)^2+Q4/(1+V6)^3+R4/(1+V6)^4+S4/(1+V6)^5</x:f>
        <x:v>1326624.8657381274</x:v>
      </x:c>
      <x:c r="X6" t="n">
        <x:f>-1*O4/(1+V6)^2-2*P4/(1+V6)^3-3*Q4/(1+V6)^4-4*R4/(1+V6)^5-5*S4/(1+V6)^6</x:f>
        <x:v>-43875210.07475118</x:v>
      </x:c>
      <x:c r="Y6" s="58" t="n">
        <x:f>V6-W6/X6</x:f>
        <x:v>-0.05332309946217219</x:v>
      </x:c>
      <x:c r="AC6" t="n">
        <x:f>AC5+1</x:f>
        <x:v>2</x:v>
      </x:c>
      <x:c r="AD6" s="58" t="n">
        <x:f>AG5</x:f>
        <x:v>0.5104469743538727</x:v>
      </x:c>
      <x:c r="AE6" t="n">
        <x:f>N5+O5/(1+AD6)^1+P5/(1+AD6)^2+Q5/(1+AD6)^3+R5/(1+AD6)^4+S5/(1+AD6)^5</x:f>
        <x:v>2081186.146554119</x:v>
      </x:c>
      <x:c r="AF6" t="n">
        <x:f>-1*O5/(1+AD6)^2-2*P5/(1+AD6)^3-3*Q5/(1+AD6)^4-4*R5/(1+AD6)^5-5*S5/(1+AD6)^6</x:f>
        <x:v>-15659242.455780594</x:v>
      </x:c>
      <x:c r="AG6" s="58" t="n">
        <x:f>AD6-AE6/AF6</x:f>
        <x:v>0.643351624909676</x:v>
      </x:c>
      <x:c r="AK6" t="n">
        <x:f>AK5+1</x:f>
        <x:v>2</x:v>
      </x:c>
      <x:c r="AL6" s="58" t="n">
        <x:f>AO5</x:f>
        <x:v>0.6179645314650097</x:v>
      </x:c>
      <x:c r="AM6" t="n">
        <x:f>N6+O6/(1+AL6)^1+P6/(1+AL6)^2+Q6/(1+AL6)^3+R6/(1+AL6)^4+S6/(1+AL6)^5</x:f>
        <x:v>5801069.190455101</x:v>
      </x:c>
      <x:c r="AN6" t="n">
        <x:f>-1*O6/(1+AL6)^2-2*P6/(1+AL6)^3-3*Q6/(1+AL6)^4-4*R6/(1+AL6)^5-5*S6/(1+AL6)^6</x:f>
        <x:v>-21572489.09285304</x:v>
      </x:c>
      <x:c r="AO6" s="58" t="n">
        <x:f>AL6-AM6/AN6</x:f>
        <x:v>0.8868750482572975</x:v>
      </x:c>
    </x:row>
    <x:row r="7">
      <x:c r="U7" t="n">
        <x:f>U6+1</x:f>
        <x:v>3</x:v>
      </x:c>
      <x:c r="V7" s="58" t="n">
        <x:f>Y6</x:f>
        <x:v>-0.05332309946217219</x:v>
      </x:c>
      <x:c r="W7" t="n">
        <x:f>N4+O4/(1+V7)^1+P4/(1+V7)^2+Q4/(1+V7)^3+R4/(1+V7)^4+S4/(1+V7)^5</x:f>
        <x:v>132868.29323475808</x:v>
      </x:c>
      <x:c r="X7" t="n">
        <x:f>-1*O4/(1+V7)^2-2*P4/(1+V7)^3-3*Q4/(1+V7)^4-4*R4/(1+V7)^5-5*S4/(1+V7)^6</x:f>
        <x:v>-35414443.240169704</x:v>
      </x:c>
      <x:c r="Y7" s="58" t="n">
        <x:f>V7-W7/X7</x:f>
        <x:v>-0.04957128858846491</x:v>
      </x:c>
      <x:c r="AC7" t="n">
        <x:f>AC6+1</x:f>
        <x:v>3</x:v>
      </x:c>
      <x:c r="AD7" s="58" t="n">
        <x:f>AG6</x:f>
        <x:v>0.643351624909676</x:v>
      </x:c>
      <x:c r="AE7" t="n">
        <x:f>N5+O5/(1+AD7)^1+P5/(1+AD7)^2+Q5/(1+AD7)^3+R5/(1+AD7)^4+S5/(1+AD7)^5</x:f>
        <x:v>413209.89519012044</x:v>
      </x:c>
      <x:c r="AF7" t="n">
        <x:f>-1*O5/(1+AD7)^2-2*P5/(1+AD7)^3-3*Q5/(1+AD7)^4-4*R5/(1+AD7)^5-5*S5/(1+AD7)^6</x:f>
        <x:v>-9953585.186206542</x:v>
      </x:c>
      <x:c r="AG7" s="58" t="n">
        <x:f>AD7-AE7/AF7</x:f>
        <x:v>0.6848652993757104</x:v>
      </x:c>
      <x:c r="AK7" t="n">
        <x:f>AK6+1</x:f>
        <x:v>3</x:v>
      </x:c>
      <x:c r="AL7" s="58" t="n">
        <x:f>AO6</x:f>
        <x:v>0.8868750482572975</x:v>
      </x:c>
      <x:c r="AM7" t="n">
        <x:f>N6+O6/(1+AL7)^1+P6/(1+AL7)^2+Q6/(1+AL7)^3+R6/(1+AL7)^4+S6/(1+AL7)^5</x:f>
        <x:v>1814347.5358820134</x:v>
      </x:c>
      <x:c r="AN7" t="n">
        <x:f>-1*O6/(1+AL7)^2-2*P6/(1+AL7)^3-3*Q6/(1+AL7)^4-4*R6/(1+AL7)^5-5*S6/(1+AL7)^6</x:f>
        <x:v>-9913568.178518258</x:v>
      </x:c>
      <x:c r="AO7" s="58" t="n">
        <x:f>AL7-AM7/AN7</x:f>
        <x:v>1.069891647650191</x:v>
      </x:c>
    </x:row>
    <x:row r="8">
      <x:c r="U8" t="n">
        <x:f>U7+1</x:f>
        <x:v>4</x:v>
      </x:c>
      <x:c r="V8" s="58" t="n">
        <x:f>Y7</x:f>
        <x:v>-0.04957128858846491</x:v>
      </x:c>
      <x:c r="W8" t="n">
        <x:f>N4+O4/(1+V8)^1+P4/(1+V8)^2+Q4/(1+V8)^3+R4/(1+V8)^4+S4/(1+V8)^5</x:f>
        <x:v>1733.621447998099</x:v>
      </x:c>
      <x:c r="X8" t="n">
        <x:f>-1*O4/(1+V8)^2-2*P4/(1+V8)^3-3*Q4/(1+V8)^4-4*R4/(1+V8)^5-5*S4/(1+V8)^6</x:f>
        <x:v>-34494648.495641954</x:v>
      </x:c>
      <x:c r="Y8" s="58" t="n">
        <x:f>V8-W8/X8</x:f>
        <x:v>-0.049521030895645766</x:v>
      </x:c>
      <x:c r="AC8" t="n">
        <x:f>AC7+1</x:f>
        <x:v>4</x:v>
      </x:c>
      <x:c r="AD8" s="58" t="n">
        <x:f>AG7</x:f>
        <x:v>0.6848652993757104</x:v>
      </x:c>
      <x:c r="AE8" t="n">
        <x:f>N5+O5/(1+AD8)^1+P5/(1+AD8)^2+Q5/(1+AD8)^3+R5/(1+AD8)^4+S5/(1+AD8)^5</x:f>
        <x:v>26559.94136487157</x:v>
      </x:c>
      <x:c r="AF8" t="n">
        <x:f>-1*O5/(1+AD8)^2-2*P5/(1+AD8)^3-3*Q5/(1+AD8)^4-4*R5/(1+AD8)^5-5*S5/(1+AD8)^6</x:f>
        <x:v>-8707118.793859268</x:v>
      </x:c>
      <x:c r="AG8" s="58" t="n">
        <x:f>AD8-AE8/AF8</x:f>
        <x:v>0.6879156702266976</x:v>
      </x:c>
      <x:c r="AK8" t="n">
        <x:f>AK7+1</x:f>
        <x:v>4</x:v>
      </x:c>
      <x:c r="AL8" s="58" t="n">
        <x:f>AO7</x:f>
        <x:v>1.069891647650191</x:v>
      </x:c>
      <x:c r="AM8" t="n">
        <x:f>N6+O6/(1+AL8)^1+P6/(1+AL8)^2+Q6/(1+AL8)^3+R6/(1+AL8)^4+S6/(1+AL8)^5</x:f>
        <x:v>365585.8377402781</x:v>
      </x:c>
      <x:c r="AN8" t="n">
        <x:f>-1*O6/(1+AL8)^2-2*P6/(1+AL8)^3-3*Q6/(1+AL8)^4-4*R6/(1+AL8)^5-5*S6/(1+AL8)^6</x:f>
        <x:v>-6261795.232008753</x:v>
      </x:c>
      <x:c r="AO8" s="58" t="n">
        <x:f>AL8-AM8/AN8</x:f>
        <x:v>1.1282751980849757</x:v>
      </x:c>
    </x:row>
    <x:row r="9">
      <x:c r="U9" t="n">
        <x:f>U8+1</x:f>
        <x:v>5</x:v>
      </x:c>
      <x:c r="V9" s="58" t="n">
        <x:f>Y8</x:f>
        <x:v>-0.049521030895645766</x:v>
      </x:c>
      <x:c r="W9" t="n">
        <x:f>N4+O4/(1+V9)^1+P4/(1+V9)^2+Q4/(1+V9)^3+R4/(1+V9)^4+S4/(1+V9)^5</x:f>
        <x:v>0.3052017977461219</x:v>
      </x:c>
      <x:c r="X9" t="n">
        <x:f>-1*O4/(1+V9)^2-2*P4/(1+V9)^3-3*Q4/(1+V9)^4-4*R4/(1+V9)^5-5*S4/(1+V9)^6</x:f>
        <x:v>-34482503.78900869</x:v>
      </x:c>
      <x:c r="Y9" s="58" t="n">
        <x:f>V9-W9/X9</x:f>
        <x:v>-0.049521022044728226</x:v>
      </x:c>
      <x:c r="AC9" t="n">
        <x:f>AC8+1</x:f>
        <x:v>5</x:v>
      </x:c>
      <x:c r="AD9" s="58" t="n">
        <x:f>AG8</x:f>
        <x:v>0.6879156702266976</x:v>
      </x:c>
      <x:c r="AE9" t="n">
        <x:f>N5+O5/(1+AD9)^1+P5/(1+AD9)^2+Q5/(1+AD9)^3+R5/(1+AD9)^4+S5/(1+AD9)^5</x:f>
        <x:v>128.40103940782137</x:v>
      </x:c>
      <x:c r="AF9" t="n">
        <x:f>-1*O5/(1+AD9)^2-2*P5/(1+AD9)^3-3*Q5/(1+AD9)^4-4*R5/(1+AD9)^5-5*S5/(1+AD9)^6</x:f>
        <x:v>-8623093.362213835</x:v>
      </x:c>
      <x:c r="AG9" s="58" t="n">
        <x:f>AD9-AE9/AF9</x:f>
        <x:v>0.6879305605953872</x:v>
      </x:c>
      <x:c r="AK9" t="n">
        <x:f>AK8+1</x:f>
        <x:v>5</x:v>
      </x:c>
      <x:c r="AL9" s="58" t="n">
        <x:f>AO8</x:f>
        <x:v>1.1282751980849757</x:v>
      </x:c>
      <x:c r="AM9" t="n">
        <x:f>N6+O6/(1+AL9)^1+P6/(1+AL9)^2+Q6/(1+AL9)^3+R6/(1+AL9)^4+S6/(1+AL9)^5</x:f>
        <x:v>24024.830702042906</x:v>
      </x:c>
      <x:c r="AN9" t="n">
        <x:f>-1*O6/(1+AL9)^2-2*P6/(1+AL9)^3-3*Q6/(1+AL9)^4-4*R6/(1+AL9)^5-5*S6/(1+AL9)^6</x:f>
        <x:v>-5461314.047521355</x:v>
      </x:c>
      <x:c r="AO9" s="58" t="n">
        <x:f>AL9-AM9/AN9</x:f>
        <x:v>1.1326742915069967</x:v>
      </x:c>
    </x:row>
    <x:row r="25">
      <x:c r="A25" s="11" t="str">
        <x:v>Año</x:v>
      </x:c>
      <x:c r="B25" s="11" t="str">
        <x:v>Pesimista</x:v>
      </x:c>
      <x:c r="C25" s="11" t="str">
        <x:v>Base</x:v>
      </x:c>
      <x:c r="D25" s="11" t="str">
        <x:v>Optimista</x:v>
      </x:c>
    </x:row>
    <x:row r="26">
      <x:c r="A26" t="str">
        <x:v>Y1</x:v>
      </x:c>
      <x:c r="B26" t="n">
        <x:v>5</x:v>
      </x:c>
      <x:c r="C26" t="n">
        <x:v>20</x:v>
      </x:c>
      <x:c r="D26" t="n">
        <x:v>30</x:v>
      </x:c>
    </x:row>
    <x:row r="27">
      <x:c r="A27" t="str">
        <x:v>Y2</x:v>
      </x:c>
      <x:c r="B27" t="n">
        <x:v>15</x:v>
      </x:c>
      <x:c r="C27" t="n">
        <x:v>45</x:v>
      </x:c>
      <x:c r="D27" t="n">
        <x:v>70</x:v>
      </x:c>
    </x:row>
    <x:row r="28">
      <x:c r="A28" t="str">
        <x:v>Y3</x:v>
      </x:c>
      <x:c r="B28" t="n">
        <x:v>30</x:v>
      </x:c>
      <x:c r="C28" t="n">
        <x:v>80</x:v>
      </x:c>
      <x:c r="D28" t="n">
        <x:v>130</x:v>
      </x:c>
    </x:row>
    <x:row r="29">
      <x:c r="A29" t="str">
        <x:v>Y4</x:v>
      </x:c>
      <x:c r="B29" t="n">
        <x:v>55</x:v>
      </x:c>
      <x:c r="C29" t="n">
        <x:v>130</x:v>
      </x:c>
      <x:c r="D29" t="n">
        <x:v>210</x:v>
      </x:c>
    </x:row>
    <x:row r="30">
      <x:c r="A30" t="str">
        <x:v>Y5</x:v>
      </x:c>
      <x:c r="B30" t="n">
        <x:v>85</x:v>
      </x:c>
      <x:c r="C30" t="n">
        <x:v>200</x:v>
      </x:c>
      <x:c r="D30" t="n">
        <x:v>320</x:v>
      </x:c>
    </x:row>
    <x:row r="31">
      <x:c r="A31" t="str"/>
      <x:c r="B31" t="str"/>
      <x:c r="C31" t="str"/>
      <x:c r="D31" t="str"/>
    </x:row>
  </x:sheetData>
  <x:mergeCells>
    <x:mergeCell ref="A1:K1"/>
  </x:mergeCells>
  <x:pageMargins left="0.7" right="0.7" top="0.75" bottom="0.75" header="0.3" footer="0.3"/>
  <x:drawing xmlns:r="http://schemas.openxmlformats.org/officeDocument/2006/relationships" r:id="R1962ffded7634485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4" t="str">
        <x:v>ANÁLISIS DE SENSIBILIDAD DEL VAN</x:v>
      </x:c>
      <x:c r="B1" s="4"/>
      <x:c r="C1" s="4"/>
      <x:c r="D1" s="4"/>
      <x:c r="E1" s="4"/>
      <x:c r="F1" s="4"/>
      <x:c r="G1" s="4"/>
      <x:c r="H1" s="4"/>
    </x:row>
    <x:row r="3">
      <x:c r="A3" s="11" t="str">
        <x:v>Variable</x:v>
      </x:c>
      <x:c r="B3" s="11" t="str">
        <x:v>-20%</x:v>
      </x:c>
      <x:c r="C3" s="11" t="str">
        <x:v>-10%</x:v>
      </x:c>
      <x:c r="D3" s="11" t="str">
        <x:v>Base</x:v>
      </x:c>
      <x:c r="E3" s="11" t="str">
        <x:v>+10%</x:v>
      </x:c>
      <x:c r="F3" s="11" t="str">
        <x:v>+20%</x:v>
      </x:c>
    </x:row>
    <x:row r="4">
      <x:c r="A4" t="str">
        <x:v>Clientes / adopción</x:v>
      </x:c>
      <x:c r="B4" s="46" t="n">
        <x:f>-Supuestos!B11+(((Proyeccion_Base!F4*0.8)-(Proyeccion_Base!G4*0.8)-Supuestos!B9)/(1+Supuestos!B13)^1)+(((Proyeccion_Base!F5*0.8)-(Proyeccion_Base!G5*0.8)-Supuestos!B9*(1+Supuestos!B10)^1-Supuestos!B12)/(1+Supuestos!B13)^2)+(((Proyeccion_Base!F6*0.8)-(Proyeccion_Base!G6*0.8)-Supuestos!B9*(1+Supuestos!B10)^2-Supuestos!B12)/(1+Supuestos!B13)^3)+(((Proyeccion_Base!F7*0.8)-(Proyeccion_Base!G7*0.8)-Supuestos!B9*(1+Supuestos!B10)^3-Supuestos!B12)/(1+Supuestos!B13)^4)+(((Proyeccion_Base!F8*0.8)-(Proyeccion_Base!G8*0.8)-Supuestos!B9*(1+Supuestos!B10)^4-Supuestos!B12)/(1+Supuestos!B13)^5)</x:f>
        <x:v>10177142.876898386</x:v>
      </x:c>
      <x:c r="C4" s="46" t="n">
        <x:f>-Supuestos!B11+(((Proyeccion_Base!F4*0.9)-(Proyeccion_Base!G4*0.9)-Supuestos!B9)/(1+Supuestos!B13)^1)+(((Proyeccion_Base!F5*0.9)-(Proyeccion_Base!G5*0.9)-Supuestos!B9*(1+Supuestos!B10)^1-Supuestos!B12)/(1+Supuestos!B13)^2)+(((Proyeccion_Base!F6*0.9)-(Proyeccion_Base!G6*0.9)-Supuestos!B9*(1+Supuestos!B10)^2-Supuestos!B12)/(1+Supuestos!B13)^3)+(((Proyeccion_Base!F7*0.9)-(Proyeccion_Base!G7*0.9)-Supuestos!B9*(1+Supuestos!B10)^3-Supuestos!B12)/(1+Supuestos!B13)^4)+(((Proyeccion_Base!F8*0.9)-(Proyeccion_Base!G8*0.9)-Supuestos!B9*(1+Supuestos!B10)^4-Supuestos!B12)/(1+Supuestos!B13)^5)</x:f>
        <x:v>13484705.726513222</x:v>
      </x:c>
      <x:c r="D4" s="46" t="n">
        <x:f>-Supuestos!B11+(((Proyeccion_Base!F4*1.0)-(Proyeccion_Base!G4*1.0)-Supuestos!B9)/(1+Supuestos!B13)^1)+(((Proyeccion_Base!F5*1.0)-(Proyeccion_Base!G5*1.0)-Supuestos!B9*(1+Supuestos!B10)^1-Supuestos!B12)/(1+Supuestos!B13)^2)+(((Proyeccion_Base!F6*1.0)-(Proyeccion_Base!G6*1.0)-Supuestos!B9*(1+Supuestos!B10)^2-Supuestos!B12)/(1+Supuestos!B13)^3)+(((Proyeccion_Base!F7*1.0)-(Proyeccion_Base!G7*1.0)-Supuestos!B9*(1+Supuestos!B10)^3-Supuestos!B12)/(1+Supuestos!B13)^4)+(((Proyeccion_Base!F8*1.0)-(Proyeccion_Base!G8*1.0)-Supuestos!B9*(1+Supuestos!B10)^4-Supuestos!B12)/(1+Supuestos!B13)^5)</x:f>
        <x:v>16792268.576128058</x:v>
      </x:c>
      <x:c r="E4" s="46" t="n">
        <x:f>-Supuestos!B11+(((Proyeccion_Base!F4*1.1)-(Proyeccion_Base!G4*1.1)-Supuestos!B9)/(1+Supuestos!B13)^1)+(((Proyeccion_Base!F5*1.1)-(Proyeccion_Base!G5*1.1)-Supuestos!B9*(1+Supuestos!B10)^1-Supuestos!B12)/(1+Supuestos!B13)^2)+(((Proyeccion_Base!F6*1.1)-(Proyeccion_Base!G6*1.1)-Supuestos!B9*(1+Supuestos!B10)^2-Supuestos!B12)/(1+Supuestos!B13)^3)+(((Proyeccion_Base!F7*1.1)-(Proyeccion_Base!G7*1.1)-Supuestos!B9*(1+Supuestos!B10)^3-Supuestos!B12)/(1+Supuestos!B13)^4)+(((Proyeccion_Base!F8*1.1)-(Proyeccion_Base!G8*1.1)-Supuestos!B9*(1+Supuestos!B10)^4-Supuestos!B12)/(1+Supuestos!B13)^5)</x:f>
        <x:v>20099831.425742898</x:v>
      </x:c>
      <x:c r="F4" s="46" t="n">
        <x:f>-Supuestos!B11+(((Proyeccion_Base!F4*1.2)-(Proyeccion_Base!G4*1.2)-Supuestos!B9)/(1+Supuestos!B13)^1)+(((Proyeccion_Base!F5*1.2)-(Proyeccion_Base!G5*1.2)-Supuestos!B9*(1+Supuestos!B10)^1-Supuestos!B12)/(1+Supuestos!B13)^2)+(((Proyeccion_Base!F6*1.2)-(Proyeccion_Base!G6*1.2)-Supuestos!B9*(1+Supuestos!B10)^2-Supuestos!B12)/(1+Supuestos!B13)^3)+(((Proyeccion_Base!F7*1.2)-(Proyeccion_Base!G7*1.2)-Supuestos!B9*(1+Supuestos!B10)^3-Supuestos!B12)/(1+Supuestos!B13)^4)+(((Proyeccion_Base!F8*1.2)-(Proyeccion_Base!G8*1.2)-Supuestos!B9*(1+Supuestos!B10)^4-Supuestos!B12)/(1+Supuestos!B13)^5)</x:f>
        <x:v>23407394.27535773</x:v>
      </x:c>
    </x:row>
    <x:row r="5">
      <x:c r="A5" t="str">
        <x:v>ARPU mensual</x:v>
      </x:c>
      <x:c r="B5" s="46" t="n">
        <x:f>-Supuestos!B11+(((Proyeccion_Base!F4*0.8)-Proyeccion_Base!G4-Supuestos!B9)/(1+Supuestos!B13)^1)+(((Proyeccion_Base!F5*0.8)-Proyeccion_Base!G5-Supuestos!B9*(1+Supuestos!B10)^1-Supuestos!B12)/(1+Supuestos!B13)^2)+(((Proyeccion_Base!F6*0.8)-Proyeccion_Base!G6-Supuestos!B9*(1+Supuestos!B10)^2-Supuestos!B12)/(1+Supuestos!B13)^3)+(((Proyeccion_Base!F7*0.8)-Proyeccion_Base!G7-Supuestos!B9*(1+Supuestos!B10)^3-Supuestos!B12)/(1+Supuestos!B13)^4)+(((Proyeccion_Base!F8*0.8)-Proyeccion_Base!G8-Supuestos!B9*(1+Supuestos!B10)^4-Supuestos!B12)/(1+Supuestos!B13)^5)</x:f>
        <x:v>9026686.233554095</x:v>
      </x:c>
      <x:c r="C5" s="46" t="n">
        <x:f>-Supuestos!B11+(((Proyeccion_Base!F4*0.9)-Proyeccion_Base!G4-Supuestos!B9)/(1+Supuestos!B13)^1)+(((Proyeccion_Base!F5*0.9)-Proyeccion_Base!G5-Supuestos!B9*(1+Supuestos!B10)^1-Supuestos!B12)/(1+Supuestos!B13)^2)+(((Proyeccion_Base!F6*0.9)-Proyeccion_Base!G6-Supuestos!B9*(1+Supuestos!B10)^2-Supuestos!B12)/(1+Supuestos!B13)^3)+(((Proyeccion_Base!F7*0.9)-Proyeccion_Base!G7-Supuestos!B9*(1+Supuestos!B10)^3-Supuestos!B12)/(1+Supuestos!B13)^4)+(((Proyeccion_Base!F8*0.9)-Proyeccion_Base!G8-Supuestos!B9*(1+Supuestos!B10)^4-Supuestos!B12)/(1+Supuestos!B13)^5)</x:f>
        <x:v>12909477.404841077</x:v>
      </x:c>
      <x:c r="D5" s="46" t="n">
        <x:f>-Supuestos!B11+(((Proyeccion_Base!F4*1.0)-Proyeccion_Base!G4-Supuestos!B9)/(1+Supuestos!B13)^1)+(((Proyeccion_Base!F5*1.0)-Proyeccion_Base!G5-Supuestos!B9*(1+Supuestos!B10)^1-Supuestos!B12)/(1+Supuestos!B13)^2)+(((Proyeccion_Base!F6*1.0)-Proyeccion_Base!G6-Supuestos!B9*(1+Supuestos!B10)^2-Supuestos!B12)/(1+Supuestos!B13)^3)+(((Proyeccion_Base!F7*1.0)-Proyeccion_Base!G7-Supuestos!B9*(1+Supuestos!B10)^3-Supuestos!B12)/(1+Supuestos!B13)^4)+(((Proyeccion_Base!F8*1.0)-Proyeccion_Base!G8-Supuestos!B9*(1+Supuestos!B10)^4-Supuestos!B12)/(1+Supuestos!B13)^5)</x:f>
        <x:v>16792268.576128058</x:v>
      </x:c>
      <x:c r="E5" s="46" t="n">
        <x:f>-Supuestos!B11+(((Proyeccion_Base!F4*1.1)-Proyeccion_Base!G4-Supuestos!B9)/(1+Supuestos!B13)^1)+(((Proyeccion_Base!F5*1.1)-Proyeccion_Base!G5-Supuestos!B9*(1+Supuestos!B10)^1-Supuestos!B12)/(1+Supuestos!B13)^2)+(((Proyeccion_Base!F6*1.1)-Proyeccion_Base!G6-Supuestos!B9*(1+Supuestos!B10)^2-Supuestos!B12)/(1+Supuestos!B13)^3)+(((Proyeccion_Base!F7*1.1)-Proyeccion_Base!G7-Supuestos!B9*(1+Supuestos!B10)^3-Supuestos!B12)/(1+Supuestos!B13)^4)+(((Proyeccion_Base!F8*1.1)-Proyeccion_Base!G8-Supuestos!B9*(1+Supuestos!B10)^4-Supuestos!B12)/(1+Supuestos!B13)^5)</x:f>
        <x:v>20675059.747415043</x:v>
      </x:c>
      <x:c r="F5" s="46" t="n">
        <x:f>-Supuestos!B11+(((Proyeccion_Base!F4*1.2)-Proyeccion_Base!G4-Supuestos!B9)/(1+Supuestos!B13)^1)+(((Proyeccion_Base!F5*1.2)-Proyeccion_Base!G5-Supuestos!B9*(1+Supuestos!B10)^1-Supuestos!B12)/(1+Supuestos!B13)^2)+(((Proyeccion_Base!F6*1.2)-Proyeccion_Base!G6-Supuestos!B9*(1+Supuestos!B10)^2-Supuestos!B12)/(1+Supuestos!B13)^3)+(((Proyeccion_Base!F7*1.2)-Proyeccion_Base!G7-Supuestos!B9*(1+Supuestos!B10)^3-Supuestos!B12)/(1+Supuestos!B13)^4)+(((Proyeccion_Base!F8*1.2)-Proyeccion_Base!G8-Supuestos!B9*(1+Supuestos!B10)^4-Supuestos!B12)/(1+Supuestos!B13)^5)</x:f>
        <x:v>24557850.91870202</x:v>
      </x:c>
    </x:row>
    <x:row r="6">
      <x:c r="A6" t="str">
        <x:v>Costos operativos</x:v>
      </x:c>
      <x:c r="B6" s="46" t="n">
        <x:f>-Supuestos!B11+((Proyeccion_Base!F4-(Proyeccion_Base!G4+Supuestos!B9)*0.8)/(1+Supuestos!B13)^1)+((Proyeccion_Base!F5-(Proyeccion_Base!G5+Supuestos!B9*(1+Supuestos!B10)^1+Supuestos!B12)*0.8)/(1+Supuestos!B13)^2)+((Proyeccion_Base!F6-(Proyeccion_Base!G6+Supuestos!B9*(1+Supuestos!B10)^2+Supuestos!B12)*0.8)/(1+Supuestos!B13)^3)+((Proyeccion_Base!F7-(Proyeccion_Base!G7+Supuestos!B9*(1+Supuestos!B10)^3+Supuestos!B12)*0.8)/(1+Supuestos!B13)^4)+((Proyeccion_Base!F8-(Proyeccion_Base!G8+Supuestos!B9*(1+Supuestos!B10)^4+Supuestos!B12)*0.8)/(1+Supuestos!B13)^5)</x:f>
        <x:v>20599397.203476407</x:v>
      </x:c>
      <x:c r="C6" s="46" t="n">
        <x:f>-Supuestos!B11+((Proyeccion_Base!F4-(Proyeccion_Base!G4+Supuestos!B9)*0.9)/(1+Supuestos!B13)^1)+((Proyeccion_Base!F5-(Proyeccion_Base!G5+Supuestos!B9*(1+Supuestos!B10)^1+Supuestos!B12)*0.9)/(1+Supuestos!B13)^2)+((Proyeccion_Base!F6-(Proyeccion_Base!G6+Supuestos!B9*(1+Supuestos!B10)^2+Supuestos!B12)*0.9)/(1+Supuestos!B13)^3)+((Proyeccion_Base!F7-(Proyeccion_Base!G7+Supuestos!B9*(1+Supuestos!B10)^3+Supuestos!B12)*0.9)/(1+Supuestos!B13)^4)+((Proyeccion_Base!F8-(Proyeccion_Base!G8+Supuestos!B9*(1+Supuestos!B10)^4+Supuestos!B12)*0.9)/(1+Supuestos!B13)^5)</x:f>
        <x:v>18695832.889802232</x:v>
      </x:c>
      <x:c r="D6" s="46" t="n">
        <x:f>-Supuestos!B11+((Proyeccion_Base!F4-(Proyeccion_Base!G4+Supuestos!B9)*1.0)/(1+Supuestos!B13)^1)+((Proyeccion_Base!F5-(Proyeccion_Base!G5+Supuestos!B9*(1+Supuestos!B10)^1+Supuestos!B12)*1.0)/(1+Supuestos!B13)^2)+((Proyeccion_Base!F6-(Proyeccion_Base!G6+Supuestos!B9*(1+Supuestos!B10)^2+Supuestos!B12)*1.0)/(1+Supuestos!B13)^3)+((Proyeccion_Base!F7-(Proyeccion_Base!G7+Supuestos!B9*(1+Supuestos!B10)^3+Supuestos!B12)*1.0)/(1+Supuestos!B13)^4)+((Proyeccion_Base!F8-(Proyeccion_Base!G8+Supuestos!B9*(1+Supuestos!B10)^4+Supuestos!B12)*1.0)/(1+Supuestos!B13)^5)</x:f>
        <x:v>16792268.576128058</x:v>
      </x:c>
      <x:c r="E6" s="46" t="n">
        <x:f>-Supuestos!B11+((Proyeccion_Base!F4-(Proyeccion_Base!G4+Supuestos!B9)*1.1)/(1+Supuestos!B13)^1)+((Proyeccion_Base!F5-(Proyeccion_Base!G5+Supuestos!B9*(1+Supuestos!B10)^1+Supuestos!B12)*1.1)/(1+Supuestos!B13)^2)+((Proyeccion_Base!F6-(Proyeccion_Base!G6+Supuestos!B9*(1+Supuestos!B10)^2+Supuestos!B12)*1.1)/(1+Supuestos!B13)^3)+((Proyeccion_Base!F7-(Proyeccion_Base!G7+Supuestos!B9*(1+Supuestos!B10)^3+Supuestos!B12)*1.1)/(1+Supuestos!B13)^4)+((Proyeccion_Base!F8-(Proyeccion_Base!G8+Supuestos!B9*(1+Supuestos!B10)^4+Supuestos!B12)*1.1)/(1+Supuestos!B13)^5)</x:f>
        <x:v>14888704.26245388</x:v>
      </x:c>
      <x:c r="F6" s="46" t="n">
        <x:f>-Supuestos!B11+((Proyeccion_Base!F4-(Proyeccion_Base!G4+Supuestos!B9)*1.2)/(1+Supuestos!B13)^1)+((Proyeccion_Base!F5-(Proyeccion_Base!G5+Supuestos!B9*(1+Supuestos!B10)^1+Supuestos!B12)*1.2)/(1+Supuestos!B13)^2)+((Proyeccion_Base!F6-(Proyeccion_Base!G6+Supuestos!B9*(1+Supuestos!B10)^2+Supuestos!B12)*1.2)/(1+Supuestos!B13)^3)+((Proyeccion_Base!F7-(Proyeccion_Base!G7+Supuestos!B9*(1+Supuestos!B10)^3+Supuestos!B12)*1.2)/(1+Supuestos!B13)^4)+((Proyeccion_Base!F8-(Proyeccion_Base!G8+Supuestos!B9*(1+Supuestos!B10)^4+Supuestos!B12)*1.2)/(1+Supuestos!B13)^5)</x:f>
        <x:v>12985139.948779706</x:v>
      </x:c>
    </x:row>
    <x:row r="8">
      <x:c r="A8" s="16" t="str">
        <x:v>Lectura</x:v>
      </x:c>
      <x:c r="B8" s="16" t="str">
        <x:v>Interpretación</x:v>
      </x:c>
      <x:c r="C8" s="16" t="str"/>
      <x:c r="D8" s="16" t="str"/>
      <x:c r="E8" s="16" t="str"/>
      <x:c r="F8" s="16" t="str"/>
    </x:row>
    <x:row r="9">
      <x:c r="A9" s="17" t="str">
        <x:v>Adopción</x:v>
      </x:c>
      <x:c r="B9" s="17" t="str">
        <x:v>El VAN es sensible a la cantidad de clientes pagados y su velocidad de crecimiento.</x:v>
      </x:c>
      <x:c r="C9" s="17" t="str"/>
      <x:c r="D9" s="17" t="str"/>
      <x:c r="E9" s="17" t="str"/>
      <x:c r="F9" s="17" t="str"/>
    </x:row>
    <x:row r="10">
      <x:c r="A10" s="17" t="str">
        <x:v>ARPU</x:v>
      </x:c>
      <x:c r="B10" s="17" t="str">
        <x:v>Cambios de precio o mix de planes impactan directamente en los ingresos.</x:v>
      </x:c>
      <x:c r="C10" s="17" t="str"/>
      <x:c r="D10" s="17" t="str"/>
      <x:c r="E10" s="17" t="str"/>
      <x:c r="F10" s="17" t="str"/>
    </x:row>
    <x:row r="11">
      <x:c r="A11" s="17" t="str">
        <x:v>Costos</x:v>
      </x:c>
      <x:c r="B11" s="17" t="str">
        <x:v>Un aumento estructural de costos puede eliminar el valor económico del escenario.</x:v>
      </x:c>
      <x:c r="C11" s="17" t="str"/>
      <x:c r="D11" s="17" t="str"/>
      <x:c r="E11" s="17" t="str"/>
      <x:c r="F11" s="17" t="str"/>
    </x:row>
    <x:row r="12">
      <x:c r="A12" s="17" t="str">
        <x:v>Uso</x:v>
      </x:c>
      <x:c r="B12" s="17" t="str">
        <x:v>La sensibilidad no reemplaza validación con clientes ni cotizaciones reales.</x:v>
      </x:c>
      <x:c r="C12" s="17" t="str"/>
      <x:c r="D12" s="17" t="str"/>
      <x:c r="E12" s="17" t="str"/>
      <x:c r="F12" s="17" t="str"/>
    </x:row>
  </x:sheetData>
  <x:mergeCells>
    <x:mergeCell ref="A1:H1"/>
  </x:mergeCells>
  <x:conditionalFormatting sqref="B4:F6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4" max="4" width="22" hidden="0" customWidth="1"/>
    <x:col min="5" max="5" width="40" hidden="0" customWidth="1"/>
    <x:col min="6" max="6" width="52" hidden="0" customWidth="1"/>
  </x:cols>
  <x:sheetData>
    <x:row r="1" ht="28" customHeight="1">
      <x:c r="A1" s="4" t="str">
        <x:v>PUNTO DE EQUILIBRIO Y MÉTRICAS COMPLEMENTARIAS</x:v>
      </x:c>
      <x:c r="B1" s="4"/>
      <x:c r="C1" s="4"/>
      <x:c r="D1" s="4"/>
      <x:c r="E1" s="4"/>
      <x:c r="F1" s="4"/>
    </x:row>
    <x:row r="3">
      <x:c r="A3" s="11" t="str">
        <x:v>Métrica</x:v>
      </x:c>
      <x:c r="B3" s="11" t="str">
        <x:v>Resultado</x:v>
      </x:c>
      <x:c r="D3" s="16" t="str">
        <x:v>Métrica</x:v>
      </x:c>
      <x:c r="E3" s="16" t="str">
        <x:v>Uso principal</x:v>
      </x:c>
      <x:c r="F3" s="16" t="str">
        <x:v>Aplicación a Localito</x:v>
      </x:c>
    </x:row>
    <x:row r="4">
      <x:c r="A4" t="str">
        <x:v>ARPU mensual</x:v>
      </x:c>
      <x:c r="B4" s="46" t="n">
        <x:f>Supuestos!I4</x:f>
        <x:v>13500</x:v>
      </x:c>
      <x:c r="D4" s="17" t="str">
        <x:v>VAN</x:v>
      </x:c>
      <x:c r="E4" s="17" t="str">
        <x:v>Valor creado sobre la tasa de descuento</x:v>
      </x:c>
      <x:c r="F4" s="17" t="str">
        <x:v>Indicador central del escenario</x:v>
      </x:c>
    </x:row>
    <x:row r="5">
      <x:c r="A5" t="str">
        <x:v>Costo variable / cliente / mes</x:v>
      </x:c>
      <x:c r="B5" s="46" t="n">
        <x:f>Supuestos!B8</x:f>
        <x:v>2000</x:v>
      </x:c>
      <x:c r="D5" s="17" t="str">
        <x:v>TIR</x:v>
      </x:c>
      <x:c r="E5" s="17" t="str">
        <x:v>Rentabilidad implícita del flujo</x:v>
      </x:c>
      <x:c r="F5" s="17" t="str">
        <x:v>Se compara con la tasa de descuento</x:v>
      </x:c>
    </x:row>
    <x:row r="6">
      <x:c r="A6" t="str">
        <x:v>Margen contribución / cliente / mes</x:v>
      </x:c>
      <x:c r="B6" s="46" t="n">
        <x:f>B4-B5</x:f>
        <x:v>11500</x:v>
      </x:c>
      <x:c r="D6" s="17" t="str">
        <x:v>Payback</x:v>
      </x:c>
      <x:c r="E6" s="17" t="str">
        <x:v>Tiempo de recuperación</x:v>
      </x:c>
      <x:c r="F6" s="17" t="str">
        <x:v>Complementario, no considera todo el valor temporal</x:v>
      </x:c>
    </x:row>
    <x:row r="7">
      <x:c r="A7" t="str">
        <x:v>Costo fijo mensual año 1</x:v>
      </x:c>
      <x:c r="B7" s="46" t="n">
        <x:f>Supuestos!B9/12</x:f>
        <x:v>250000</x:v>
      </x:c>
      <x:c r="D7" s="17" t="str">
        <x:v>VAC / CAE</x:v>
      </x:c>
      <x:c r="E7" s="17" t="str">
        <x:v>Comparación de alternativas de costo</x:v>
      </x:c>
      <x:c r="F7" s="17" t="str">
        <x:v>Complementario; no es el criterio principal de un SaaS con ingresos</x:v>
      </x:c>
    </x:row>
    <x:row r="8">
      <x:c r="A8" t="str">
        <x:v>Clientes pagados de equilibrio</x:v>
      </x:c>
      <x:c r="B8" s="62" t="n">
        <x:f>B7/B6</x:f>
        <x:v>21.73913043478261</x:v>
      </x:c>
      <x:c r="D8" s="17" t="str">
        <x:v>Punto equilibrio</x:v>
      </x:c>
      <x:c r="E8" s="17" t="str">
        <x:v>Clientes necesarios para cubrir costos fijos</x:v>
      </x:c>
      <x:c r="F8" s="17" t="str">
        <x:v>Útil para metas comerciales</x:v>
      </x:c>
    </x:row>
    <x:row r="9">
      <x:c r="A9" t="str">
        <x:v>VAC de costos (5 años)</x:v>
      </x:c>
      <x:c r="B9" s="46" t="n">
        <x:f>Supuestos!B11+(Proyeccion_Base!G4+Supuestos!B9)/(1+Supuestos!B13)^1+(Proyeccion_Base!G5+Supuestos!B9*(1+Supuestos!B10)^1+Supuestos!B12)/(1+Supuestos!B13)^2+(Proyeccion_Base!G6+Supuestos!B9*(1+Supuestos!B10)^2+Supuestos!B12)/(1+Supuestos!B13)^3+(Proyeccion_Base!G7+Supuestos!B9*(1+Supuestos!B10)^3+Supuestos!B12)/(1+Supuestos!B13)^4+(Proyeccion_Base!G8+Supuestos!B9*(1+Supuestos!B10)^4+Supuestos!B12)/(1+Supuestos!B13)^5</x:f>
        <x:v>22035643.136741754</x:v>
      </x:c>
    </x:row>
    <x:row r="10">
      <x:c r="A10" t="str">
        <x:v>CAE de costos (5 años)</x:v>
      </x:c>
      <x:c r="B10" s="46" t="n">
        <x:f>B9*(Supuestos!B13*(1+Supuestos!B13)^5)/((1+Supuestos!B13)^5-1)</x:f>
        <x:v>6112901.855712141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4" hidden="0" customWidth="1"/>
    <x:col min="3" max="3" width="70" hidden="0" customWidth="1"/>
    <x:col min="4" max="4" width="32" hidden="0" customWidth="1"/>
  </x:cols>
  <x:sheetData>
    <x:row r="1" ht="28" customHeight="1">
      <x:c r="A1" s="4" t="str">
        <x:v>FUENTES Y CALIDAD DE LOS DATOS</x:v>
      </x:c>
      <x:c r="B1" s="4"/>
      <x:c r="C1" s="4"/>
      <x:c r="D1" s="4"/>
    </x:row>
    <x:row r="3">
      <x:c r="A3" s="11" t="str">
        <x:v>Tema</x:v>
      </x:c>
      <x:c r="B3" s="11" t="str">
        <x:v>Dato</x:v>
      </x:c>
      <x:c r="C3" s="11" t="str">
        <x:v>Fuente</x:v>
      </x:c>
      <x:c r="D3" s="11" t="str">
        <x:v>Calidad / vigencia</x:v>
      </x:c>
    </x:row>
    <x:row r="4">
      <x:c r="A4" s="17" t="str">
        <x:v>Modelo de negocio</x:v>
      </x:c>
      <x:c r="B4" s="17" t="str">
        <x:v>Plan Básico $10.000 y Plan Pro $20.000</x:v>
      </x:c>
      <x:c r="C4" s="17" t="str">
        <x:v>Dato del equipo Localito</x:v>
      </x:c>
      <x:c r="D4" s="17" t="str">
        <x:v>Dato del proyecto</x:v>
      </x:c>
    </x:row>
    <x:row r="5">
      <x:c r="A5" s="17" t="str">
        <x:v>Trial</x:v>
      </x:c>
      <x:c r="B5" s="17" t="str">
        <x:v>30 días Pro</x:v>
      </x:c>
      <x:c r="C5" s="17" t="str">
        <x:v>https://github.com/CamiloGonzalezSt/LocalitoSaaS</x:v>
      </x:c>
      <x:c r="D5" s="17" t="str">
        <x:v>Repositorio</x:v>
      </x:c>
    </x:row>
    <x:row r="6">
      <x:c r="A6" s="17" t="str">
        <x:v>Mercado</x:v>
      </x:c>
      <x:c r="B6" s="17" t="str">
        <x:v>Competidores POS e inventario; Almacén Fácil desde $9.990/mes en revisión de mercado</x:v>
      </x:c>
      <x:c r="C6" s="17" t="str">
        <x:v>https://github.com/CamiloGonzalezSt/LocalitoSaaS/blob/main/docs/Revision-Integral-Tesis-Mercado.md</x:v>
      </x:c>
      <x:c r="D6" s="17" t="str">
        <x:v>Revisión histórica 27-08-2026</x:v>
      </x:c>
    </x:row>
    <x:row r="7">
      <x:c r="A7" s="17" t="str">
        <x:v>Referencia académica</x:v>
      </x:c>
      <x:c r="B7" s="17" t="str">
        <x:v>Informe económico previo con VAN/TIR y tasa de descuento 12%</x:v>
      </x:c>
      <x:c r="C7" s="17" t="str">
        <x:v>Google Drive: Informe de Evaluación Económica.docx</x:v>
      </x:c>
      <x:c r="D7" s="17" t="str">
        <x:v>Referencia del ramo</x:v>
      </x:c>
    </x:row>
    <x:row r="8">
      <x:c r="A8" s="17" t="str">
        <x:v>Metodología</x:v>
      </x:c>
      <x:c r="B8" s="17" t="str">
        <x:v>Planilla de evaluación de proyectos del ramo</x:v>
      </x:c>
      <x:c r="C8" s="17" t="str">
        <x:v>Google Drive: 3.1.2 Planilla evaluación de proyectos.xlsx</x:v>
      </x:c>
      <x:c r="D8" s="17" t="str">
        <x:v>Referencia del ramo</x:v>
      </x:c>
    </x:row>
    <x:row r="9">
      <x:c r="A9" s="17" t="str">
        <x:v>Costos</x:v>
      </x:c>
      <x:c r="B9" s="17" t="str">
        <x:v>Inversión, costos fijos y variables usados en el escenario</x:v>
      </x:c>
      <x:c r="C9" s="17" t="str">
        <x:v>Supuestos académicos editables</x:v>
      </x:c>
      <x:c r="D9" s="17" t="str">
        <x:v>No validados con cotizaciones</x:v>
      </x:c>
    </x:row>
    <x:row r="10">
      <x:c r="A10" s="17" t="str">
        <x:v>Estructura lean</x:v>
      </x:c>
      <x:c r="B10" s="17" t="str">
        <x:v>Inversión inicial $3.000.000; costo fijo año 1 $3.000.000; reinversión $300.000/año desde año 2</x:v>
      </x:c>
      <x:c r="C10" s="17" t="str">
        <x:v>Supuesto académico revisado para un SaaS bootstrapped</x:v>
      </x:c>
      <x:c r="D10" s="17" t="str">
        <x:v>No validado con cotizaciones; reemplazar por datos reales cuando existan</x:v>
      </x:c>
    </x:row>
  </x:sheetData>
  <x:mergeCells>
    <x:mergeCell ref="A1:D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20" hidden="0" customWidth="1"/>
    <x:col min="5" max="5" width="14" hidden="0" customWidth="1"/>
    <x:col min="6" max="6" width="28" hidden="0" customWidth="1"/>
  </x:cols>
  <x:sheetData>
    <x:row r="1" ht="28" customHeight="1">
      <x:c r="A1" s="4" t="str">
        <x:v>CÁLCULO ITERATIVO DE TIR - ESCENARIO BASE</x:v>
      </x:c>
      <x:c r="B1" s="4"/>
      <x:c r="C1" s="4"/>
      <x:c r="D1" s="4"/>
      <x:c r="E1" s="4"/>
      <x:c r="F1" s="4"/>
    </x:row>
    <x:row r="3">
      <x:c r="A3" s="11" t="str">
        <x:v>Iteración</x:v>
      </x:c>
      <x:c r="B3" s="11" t="str">
        <x:v>Tasa r</x:v>
      </x:c>
      <x:c r="C3" s="11" t="str">
        <x:v>VAN a r</x:v>
      </x:c>
      <x:c r="D3" s="11" t="str">
        <x:v>Derivada</x:v>
      </x:c>
      <x:c r="E3" s="11" t="str">
        <x:v>Nueva tasa</x:v>
      </x:c>
      <x:c r="F3" s="11" t="str">
        <x:v>Nota</x:v>
      </x:c>
    </x:row>
    <x:row r="4">
      <x:c r="A4" t="n">
        <x:v>0</x:v>
      </x:c>
      <x:c r="B4" s="58" t="n">
        <x:v>0.15</x:v>
      </x:c>
      <x:c r="C4" s="46" t="n">
        <x:f>Flujo_Caja!B11+Flujo_Caja!C11/(1+B4)^1+Flujo_Caja!D11/(1+B4)^2+Flujo_Caja!E11/(1+B4)^3+Flujo_Caja!F11/(1+B4)^4+Flujo_Caja!G11/(1+B4)^5</x:f>
        <x:v>14573698.092845585</x:v>
      </x:c>
      <x:c r="D4" s="46" t="n">
        <x:f>-1*Flujo_Caja!C11/(1+B4)^2-2*Flujo_Caja!D11/(1+B4)^3-3*Flujo_Caja!E11/(1+B4)^4-4*Flujo_Caja!F11/(1+B4)^5-5*Flujo_Caja!G11/(1+B4)^6</x:f>
        <x:v>-68748762.4571904</x:v>
      </x:c>
      <x:c r="E4" s="58" t="n">
        <x:f>B4-C4/D4</x:f>
        <x:v>0.3619848790284854</x:v>
      </x:c>
      <x:c r="F4" t="str">
        <x:v>Semilla inicial editable</x:v>
      </x:c>
    </x:row>
    <x:row r="5">
      <x:c r="A5" t="n">
        <x:f>A4+1</x:f>
        <x:v>1</x:v>
      </x:c>
      <x:c r="B5" s="58" t="n">
        <x:f>E4</x:f>
        <x:v>0.3619848790284854</x:v>
      </x:c>
      <x:c r="C5" s="46" t="n">
        <x:f>Flujo_Caja!B11+Flujo_Caja!C11/(1+B5)^1+Flujo_Caja!D11/(1+B5)^2+Flujo_Caja!E11/(1+B5)^3+Flujo_Caja!F11/(1+B5)^4+Flujo_Caja!G11/(1+B5)^5</x:f>
        <x:v>5179188.341831861</x:v>
      </x:c>
      <x:c r="D5" s="46" t="n">
        <x:f>-1*Flujo_Caja!C11/(1+B5)^2-2*Flujo_Caja!D11/(1+B5)^3-3*Flujo_Caja!E11/(1+B5)^4-4*Flujo_Caja!F11/(1+B5)^5-5*Flujo_Caja!G11/(1+B5)^6</x:f>
        <x:v>-27371620.306097075</x:v>
      </x:c>
      <x:c r="E5" s="58" t="n">
        <x:f>B5-C5/D5</x:f>
        <x:v>0.5512023343312022</x:v>
      </x:c>
    </x:row>
    <x:row r="6">
      <x:c r="A6" t="n">
        <x:f>A5+1</x:f>
        <x:v>2</x:v>
      </x:c>
      <x:c r="B6" s="58" t="n">
        <x:f>E5</x:f>
        <x:v>0.5512023343312022</x:v>
      </x:c>
      <x:c r="C6" s="46" t="n">
        <x:f>Flujo_Caja!B11+Flujo_Caja!C11/(1+B6)^1+Flujo_Caja!D11/(1+B6)^2+Flujo_Caja!E11/(1+B6)^3+Flujo_Caja!F11/(1+B6)^4+Flujo_Caja!G11/(1+B6)^5</x:f>
        <x:v>1486783.189461588</x:v>
      </x:c>
      <x:c r="D6" s="46" t="n">
        <x:f>-1*Flujo_Caja!C11/(1+B6)^2-2*Flujo_Caja!D11/(1+B6)^3-3*Flujo_Caja!E11/(1+B6)^4-4*Flujo_Caja!F11/(1+B6)^5-5*Flujo_Caja!G11/(1+B6)^6</x:f>
        <x:v>-13569627.449082378</x:v>
      </x:c>
      <x:c r="E6" s="58" t="n">
        <x:f>B6-C6/D6</x:f>
        <x:v>0.6607693209740175</x:v>
      </x:c>
    </x:row>
    <x:row r="7">
      <x:c r="A7" t="n">
        <x:f>A6+1</x:f>
        <x:v>3</x:v>
      </x:c>
      <x:c r="B7" s="58" t="n">
        <x:f>E6</x:f>
        <x:v>0.6607693209740175</x:v>
      </x:c>
      <x:c r="C7" s="46" t="n">
        <x:f>Flujo_Caja!B11+Flujo_Caja!C11/(1+B7)^1+Flujo_Caja!D11/(1+B7)^2+Flujo_Caja!E11/(1+B7)^3+Flujo_Caja!F11/(1+B7)^4+Flujo_Caja!G11/(1+B7)^5</x:f>
        <x:v>244661.0956125697</x:v>
      </x:c>
      <x:c r="D7" s="46" t="n">
        <x:f>-1*Flujo_Caja!C11/(1+B7)^2-2*Flujo_Caja!D11/(1+B7)^3-3*Flujo_Caja!E11/(1+B7)^4-4*Flujo_Caja!F11/(1+B7)^5-5*Flujo_Caja!G11/(1+B7)^6</x:f>
        <x:v>-9406304.841240035</x:v>
      </x:c>
      <x:c r="E7" s="58" t="n">
        <x:f>B7-C7/D7</x:f>
        <x:v>0.6867796512516312</x:v>
      </x:c>
    </x:row>
    <x:row r="8">
      <x:c r="A8" t="n">
        <x:f>A7+1</x:f>
        <x:v>4</x:v>
      </x:c>
      <x:c r="B8" s="58" t="n">
        <x:f>E7</x:f>
        <x:v>0.6867796512516312</x:v>
      </x:c>
      <x:c r="C8" s="46" t="n">
        <x:f>Flujo_Caja!B11+Flujo_Caja!C11/(1+B8)^1+Flujo_Caja!D11/(1+B8)^2+Flujo_Caja!E11/(1+B8)^3+Flujo_Caja!F11/(1+B8)^4+Flujo_Caja!G11/(1+B8)^5</x:f>
        <x:v>9942.096234853845</x:v>
      </x:c>
      <x:c r="D8" s="46" t="n">
        <x:f>-1*Flujo_Caja!C11/(1+B8)^2-2*Flujo_Caja!D11/(1+B8)^3-3*Flujo_Caja!E11/(1+B8)^4-4*Flujo_Caja!F11/(1+B8)^5-5*Flujo_Caja!G11/(1+B8)^6</x:f>
        <x:v>-8654272.771074792</x:v>
      </x:c>
      <x:c r="E8" s="58" t="n">
        <x:f>B8-C8/D8</x:f>
        <x:v>0.6879284590715191</x:v>
      </x:c>
    </x:row>
    <x:row r="9">
      <x:c r="A9" t="n">
        <x:f>A8+1</x:f>
        <x:v>5</x:v>
      </x:c>
      <x:c r="B9" s="58" t="n">
        <x:f>E8</x:f>
        <x:v>0.6879284590715191</x:v>
      </x:c>
      <x:c r="C9" s="46" t="n">
        <x:f>Flujo_Caja!B11+Flujo_Caja!C11/(1+B9)^1+Flujo_Caja!D11/(1+B9)^2+Flujo_Caja!E11/(1+B9)^3+Flujo_Caja!F11/(1+B9)^4+Flujo_Caja!G11/(1+B9)^5</x:f>
        <x:v>18.12387613579631</x:v>
      </x:c>
      <x:c r="D9" s="46" t="n">
        <x:f>-1*Flujo_Caja!C11/(1+B9)^2-2*Flujo_Caja!D11/(1+B9)^3-3*Flujo_Caja!E11/(1+B9)^4-4*Flujo_Caja!F11/(1+B9)^5-5*Flujo_Caja!G11/(1+B9)^6</x:f>
        <x:v>-8622743.119203236</x:v>
      </x:c>
      <x:c r="E9" s="58" t="n">
        <x:f>B9-C9/D9</x:f>
        <x:v>0.6879305609404819</x:v>
      </x:c>
    </x:row>
    <x:row r="10">
      <x:c r="A10" t="n">
        <x:f>A9+1</x:f>
        <x:v>6</x:v>
      </x:c>
      <x:c r="B10" s="58" t="n">
        <x:f>E9</x:f>
        <x:v>0.6879305609404819</x:v>
      </x:c>
      <x:c r="C10" s="46" t="n">
        <x:f>Flujo_Caja!B11+Flujo_Caja!C11/(1+B10)^1+Flujo_Caja!D11/(1+B10)^2+Flujo_Caja!E11/(1+B10)^3+Flujo_Caja!F11/(1+B10)^4+Flujo_Caja!G11/(1+B10)^5</x:f>
        <x:v>0.00006049475632607937</x:v>
      </x:c>
      <x:c r="D10" s="46" t="n">
        <x:f>-1*Flujo_Caja!C11/(1+B10)^2-2*Flujo_Caja!D11/(1+B10)^3-3*Flujo_Caja!E11/(1+B10)^4-4*Flujo_Caja!F11/(1+B10)^5-5*Flujo_Caja!G11/(1+B10)^6</x:f>
        <x:v>-8622685.55777433</x:v>
      </x:c>
      <x:c r="E10" s="58" t="n">
        <x:f>B10-C10/D10</x:f>
        <x:v>0.6879305609474976</x:v>
      </x:c>
    </x:row>
    <x:row r="11">
      <x:c r="A11" t="n">
        <x:f>A10+1</x:f>
        <x:v>7</x:v>
      </x:c>
      <x:c r="B11" s="58" t="n">
        <x:f>E10</x:f>
        <x:v>0.6879305609474976</x:v>
      </x:c>
      <x:c r="C11" s="46" t="n">
        <x:f>Flujo_Caja!B11+Flujo_Caja!C11/(1+B11)^1+Flujo_Caja!D11/(1+B11)^2+Flujo_Caja!E11/(1+B11)^3+Flujo_Caja!F11/(1+B11)^4+Flujo_Caja!G11/(1+B11)^5</x:f>
        <x:v>4.656612873077393e-10</x:v>
      </x:c>
      <x:c r="D11" s="46" t="n">
        <x:f>-1*Flujo_Caja!C11/(1+B11)^2-2*Flujo_Caja!D11/(1+B11)^3-3*Flujo_Caja!E11/(1+B11)^4-4*Flujo_Caja!F11/(1+B11)^5-5*Flujo_Caja!G11/(1+B11)^6</x:f>
        <x:v>-8622685.5575822</x:v>
      </x:c>
      <x:c r="E11" s="58" t="n">
        <x:f>B11-C11/D11</x:f>
        <x:v>0.6879305609474976</x:v>
      </x:c>
    </x:row>
    <x:row r="12">
      <x:c r="A12" t="n">
        <x:f>A11+1</x:f>
        <x:v>8</x:v>
      </x:c>
      <x:c r="B12" s="58" t="n">
        <x:f>E11</x:f>
        <x:v>0.6879305609474976</x:v>
      </x:c>
      <x:c r="C12" s="46" t="n">
        <x:f>Flujo_Caja!B11+Flujo_Caja!C11/(1+B12)^1+Flujo_Caja!D11/(1+B12)^2+Flujo_Caja!E11/(1+B12)^3+Flujo_Caja!F11/(1+B12)^4+Flujo_Caja!G11/(1+B12)^5</x:f>
        <x:v>4.656612873077393e-10</x:v>
      </x:c>
      <x:c r="D12" s="46" t="n">
        <x:f>-1*Flujo_Caja!C11/(1+B12)^2-2*Flujo_Caja!D11/(1+B12)^3-3*Flujo_Caja!E11/(1+B12)^4-4*Flujo_Caja!F11/(1+B12)^5-5*Flujo_Caja!G11/(1+B12)^6</x:f>
        <x:v>-8622685.5575822</x:v>
      </x:c>
      <x:c r="E12" s="58" t="n">
        <x:f>B12-C12/D12</x:f>
        <x:v>0.6879305609474976</x:v>
      </x:c>
    </x:row>
    <x:row r="13">
      <x:c r="A13" t="n">
        <x:f>A12+1</x:f>
        <x:v>9</x:v>
      </x:c>
      <x:c r="B13" s="58" t="n">
        <x:f>E12</x:f>
        <x:v>0.6879305609474976</x:v>
      </x:c>
      <x:c r="C13" s="46" t="n">
        <x:f>Flujo_Caja!B11+Flujo_Caja!C11/(1+B13)^1+Flujo_Caja!D11/(1+B13)^2+Flujo_Caja!E11/(1+B13)^3+Flujo_Caja!F11/(1+B13)^4+Flujo_Caja!G11/(1+B13)^5</x:f>
        <x:v>4.656612873077393e-10</x:v>
      </x:c>
      <x:c r="D13" s="46" t="n">
        <x:f>-1*Flujo_Caja!C11/(1+B13)^2-2*Flujo_Caja!D11/(1+B13)^3-3*Flujo_Caja!E11/(1+B13)^4-4*Flujo_Caja!F11/(1+B13)^5-5*Flujo_Caja!G11/(1+B13)^6</x:f>
        <x:v>-8622685.5575822</x:v>
      </x:c>
      <x:c r="E13" s="58" t="n">
        <x:f>B13-C13/D13</x:f>
        <x:v>0.6879305609474976</x:v>
      </x:c>
    </x:row>
  </x:sheetData>
  <x:mergeCells>
    <x:mergeCell ref="A1:F1"/>
  </x:mergeCells>
  <x:pageMargins left="0.7" right="0.7" top="0.75" bottom="0.75" header="0.3" footer="0.3"/>
</x:worksheet>
</file>